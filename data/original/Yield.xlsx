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106" documentId="8_{8B4FA26A-D4F7-4443-8C75-268ADA32ED06}" xr6:coauthVersionLast="47" xr6:coauthVersionMax="47" xr10:uidLastSave="{714AD45B-9C78-40B6-AF08-8F406716B4E1}"/>
  <bookViews>
    <workbookView xWindow="28680" yWindow="-7515" windowWidth="29040" windowHeight="15720" xr2:uid="{4378E4F5-4D9E-4DF0-A2EC-28E161754BEC}"/>
  </bookViews>
  <sheets>
    <sheet name="Yie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I2" i="1"/>
  <c r="I3" i="1"/>
  <c r="K3" i="1" s="1"/>
  <c r="I4" i="1"/>
  <c r="K4" i="1" s="1"/>
  <c r="I5" i="1"/>
  <c r="K5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K29" i="1" s="1"/>
  <c r="I30" i="1"/>
  <c r="I31" i="1"/>
  <c r="I32" i="1"/>
  <c r="I33" i="1"/>
  <c r="I34" i="1"/>
  <c r="I35" i="1"/>
  <c r="I36" i="1"/>
  <c r="I37" i="1"/>
  <c r="I38" i="1"/>
  <c r="I39" i="1"/>
  <c r="I40" i="1"/>
  <c r="K40" i="1" s="1"/>
  <c r="I41" i="1"/>
  <c r="K41" i="1" s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K65" i="1" s="1"/>
  <c r="I66" i="1"/>
  <c r="I67" i="1"/>
  <c r="I68" i="1"/>
  <c r="I69" i="1"/>
  <c r="I70" i="1"/>
  <c r="I71" i="1"/>
  <c r="I72" i="1"/>
  <c r="I73" i="1"/>
  <c r="I74" i="1"/>
  <c r="I75" i="1"/>
  <c r="I76" i="1"/>
  <c r="K76" i="1" s="1"/>
  <c r="I77" i="1"/>
  <c r="K77" i="1" s="1"/>
  <c r="I78" i="1"/>
  <c r="I79" i="1"/>
  <c r="I80" i="1"/>
  <c r="I81" i="1"/>
  <c r="K78" i="1" l="1"/>
  <c r="L78" i="1" s="1"/>
  <c r="K66" i="1"/>
  <c r="K54" i="1"/>
  <c r="K42" i="1"/>
  <c r="K30" i="1"/>
  <c r="L30" i="1" s="1"/>
  <c r="K18" i="1"/>
  <c r="K6" i="1"/>
  <c r="L6" i="1" s="1"/>
  <c r="L75" i="1"/>
  <c r="L74" i="1"/>
  <c r="K49" i="1"/>
  <c r="L49" i="1" s="1"/>
  <c r="K60" i="1"/>
  <c r="L60" i="1" s="1"/>
  <c r="K24" i="1"/>
  <c r="L24" i="1" s="1"/>
  <c r="K28" i="1"/>
  <c r="L28" i="1" s="1"/>
  <c r="K71" i="1"/>
  <c r="L71" i="1" s="1"/>
  <c r="K37" i="1"/>
  <c r="L37" i="1" s="1"/>
  <c r="K72" i="1"/>
  <c r="L72" i="1" s="1"/>
  <c r="K36" i="1"/>
  <c r="L36" i="1" s="1"/>
  <c r="K64" i="1"/>
  <c r="L64" i="1" s="1"/>
  <c r="K59" i="1"/>
  <c r="L59" i="1" s="1"/>
  <c r="K47" i="1"/>
  <c r="L47" i="1" s="1"/>
  <c r="K35" i="1"/>
  <c r="L35" i="1" s="1"/>
  <c r="K23" i="1"/>
  <c r="L23" i="1" s="1"/>
  <c r="K11" i="1"/>
  <c r="L11" i="1" s="1"/>
  <c r="K63" i="1"/>
  <c r="L63" i="1" s="1"/>
  <c r="K27" i="1"/>
  <c r="L27" i="1" s="1"/>
  <c r="K70" i="1"/>
  <c r="L70" i="1" s="1"/>
  <c r="K58" i="1"/>
  <c r="L58" i="1" s="1"/>
  <c r="K46" i="1"/>
  <c r="L46" i="1" s="1"/>
  <c r="K34" i="1"/>
  <c r="L34" i="1" s="1"/>
  <c r="K22" i="1"/>
  <c r="L22" i="1" s="1"/>
  <c r="K10" i="1"/>
  <c r="L10" i="1" s="1"/>
  <c r="K62" i="1"/>
  <c r="L62" i="1" s="1"/>
  <c r="K26" i="1"/>
  <c r="L26" i="1" s="1"/>
  <c r="L66" i="1"/>
  <c r="L54" i="1"/>
  <c r="L42" i="1"/>
  <c r="L18" i="1"/>
  <c r="K12" i="1"/>
  <c r="L12" i="1" s="1"/>
  <c r="K69" i="1"/>
  <c r="L69" i="1" s="1"/>
  <c r="K45" i="1"/>
  <c r="L45" i="1" s="1"/>
  <c r="K21" i="1"/>
  <c r="L21" i="1" s="1"/>
  <c r="K9" i="1"/>
  <c r="L9" i="1" s="1"/>
  <c r="K53" i="1"/>
  <c r="L53" i="1" s="1"/>
  <c r="K17" i="1"/>
  <c r="L17" i="1" s="1"/>
  <c r="L77" i="1"/>
  <c r="L65" i="1"/>
  <c r="L41" i="1"/>
  <c r="L29" i="1"/>
  <c r="L5" i="1"/>
  <c r="K13" i="1"/>
  <c r="L13" i="1" s="1"/>
  <c r="K48" i="1"/>
  <c r="L48" i="1" s="1"/>
  <c r="K57" i="1"/>
  <c r="L57" i="1" s="1"/>
  <c r="K80" i="1"/>
  <c r="L80" i="1" s="1"/>
  <c r="K32" i="1"/>
  <c r="L32" i="1" s="1"/>
  <c r="K52" i="1"/>
  <c r="L52" i="1" s="1"/>
  <c r="K16" i="1"/>
  <c r="L16" i="1" s="1"/>
  <c r="L76" i="1"/>
  <c r="L40" i="1"/>
  <c r="L4" i="1"/>
  <c r="L3" i="1"/>
  <c r="K75" i="1"/>
  <c r="K39" i="1"/>
  <c r="L39" i="1" s="1"/>
  <c r="K74" i="1"/>
  <c r="K38" i="1"/>
  <c r="L38" i="1" s="1"/>
  <c r="K2" i="1"/>
  <c r="L2" i="1" s="1"/>
  <c r="K73" i="1"/>
  <c r="L73" i="1" s="1"/>
  <c r="K61" i="1"/>
  <c r="L61" i="1" s="1"/>
  <c r="K25" i="1"/>
  <c r="L25" i="1" s="1"/>
  <c r="K81" i="1"/>
  <c r="L81" i="1" s="1"/>
  <c r="K33" i="1"/>
  <c r="L33" i="1" s="1"/>
  <c r="K68" i="1"/>
  <c r="L68" i="1" s="1"/>
  <c r="K56" i="1"/>
  <c r="L56" i="1" s="1"/>
  <c r="K44" i="1"/>
  <c r="L44" i="1" s="1"/>
  <c r="K20" i="1"/>
  <c r="L20" i="1" s="1"/>
  <c r="K8" i="1"/>
  <c r="L8" i="1" s="1"/>
  <c r="K79" i="1"/>
  <c r="L79" i="1" s="1"/>
  <c r="K67" i="1"/>
  <c r="L67" i="1" s="1"/>
  <c r="K55" i="1"/>
  <c r="L55" i="1" s="1"/>
  <c r="K43" i="1"/>
  <c r="L43" i="1" s="1"/>
  <c r="K31" i="1"/>
  <c r="L31" i="1" s="1"/>
  <c r="K19" i="1"/>
  <c r="L19" i="1" s="1"/>
  <c r="K7" i="1"/>
  <c r="L7" i="1" s="1"/>
  <c r="K51" i="1"/>
  <c r="L51" i="1" s="1"/>
  <c r="K15" i="1"/>
  <c r="L15" i="1" s="1"/>
  <c r="K50" i="1"/>
  <c r="L50" i="1" s="1"/>
  <c r="K14" i="1"/>
  <c r="L14" i="1" s="1"/>
</calcChain>
</file>

<file path=xl/sharedStrings.xml><?xml version="1.0" encoding="utf-8"?>
<sst xmlns="http://schemas.openxmlformats.org/spreadsheetml/2006/main" count="93" uniqueCount="17">
  <si>
    <t>FE</t>
  </si>
  <si>
    <t>BE</t>
  </si>
  <si>
    <t>FC</t>
  </si>
  <si>
    <t>FO</t>
  </si>
  <si>
    <t>Date</t>
  </si>
  <si>
    <t>Field</t>
  </si>
  <si>
    <t>Treatment</t>
  </si>
  <si>
    <t>Repeat</t>
  </si>
  <si>
    <t>Humidity</t>
  </si>
  <si>
    <t>Density</t>
  </si>
  <si>
    <t>Observations</t>
  </si>
  <si>
    <t>Area_m2</t>
  </si>
  <si>
    <t>Weight_g</t>
  </si>
  <si>
    <t>Weight_kg/ha</t>
  </si>
  <si>
    <t>Yield_kg/ha_HR14</t>
  </si>
  <si>
    <t>Weight_reduction</t>
  </si>
  <si>
    <t>Weight_reduction_prop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</si>
</sst>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2" borderId="0" xfId="0" applyFont="1" applyFill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DB29B-7880-479C-B5C8-821ED7E21F63}" name="Tabla25" displayName="Tabla25" ref="A1:M81" totalsRowShown="0" headerRowDxfId="14" dataDxfId="13">
  <autoFilter ref="A1:M81" xr:uid="{DBEDB29B-7880-479C-B5C8-821ED7E21F63}">
    <filterColumn colId="1">
      <filters>
        <filter val="4"/>
        <filter val="5"/>
      </filters>
    </filterColumn>
    <filterColumn colId="2">
      <filters>
        <filter val="BE"/>
        <filter val="FO"/>
      </filters>
    </filterColumn>
  </autoFilter>
  <tableColumns count="13">
    <tableColumn id="1" xr3:uid="{F4F9AD34-2BD1-4230-A1B9-807DA127C678}" name="Date" dataDxfId="12"/>
    <tableColumn id="2" xr3:uid="{0D29DA5C-6A87-4734-B044-FA9437B84747}" name="Field" dataDxfId="11"/>
    <tableColumn id="3" xr3:uid="{D97E7405-7B38-44FA-B9C3-73BF7396C810}" name="Treatment" dataDxfId="10"/>
    <tableColumn id="4" xr3:uid="{B1967649-6994-481B-A304-9F8F097F3A38}" name="Repeat" dataDxfId="9"/>
    <tableColumn id="5" xr3:uid="{89AD42B2-6B88-46F1-AB15-51ED923EAAF2}" name="Area_m2" dataDxfId="8"/>
    <tableColumn id="6" xr3:uid="{C5755088-DA07-4DEC-89D7-7C30F8CE16AD}" name="Weight_g" dataDxfId="7"/>
    <tableColumn id="7" xr3:uid="{8DE7F511-84B7-4EB5-BE31-FB6F570F165A}" name="Humidity" dataDxfId="6"/>
    <tableColumn id="8" xr3:uid="{1573BD29-F3C8-4824-AF01-3B3473B33C0A}" name="Density" dataDxfId="5"/>
    <tableColumn id="10" xr3:uid="{A73B6165-6ED4-4EBE-8F42-9B65F03EC49C}" name="Weight_kg/ha" dataDxfId="4">
      <calculatedColumnFormula>Tabla25[[#This Row],[Weight_g]]*10000/1000</calculatedColumnFormula>
    </tableColumn>
    <tableColumn id="11" xr3:uid="{3C40A40F-F087-4377-B13E-371FD648DF06}" name="Weight_reduction_prop" dataDxfId="3">
      <calculatedColumnFormula>100*(Tabla25[[#This Row],[Humidity]]-14)/(100-Tabla25[[#This Row],[Humidity]])</calculatedColumnFormula>
    </tableColumn>
    <tableColumn id="12" xr3:uid="{DCD40F4E-7530-4353-BF5D-EB0A9C93E003}" name="Weight_reduction" dataDxfId="2">
      <calculatedColumnFormula>Tabla25[[#This Row],[Weight_kg/ha]]*Tabla25[[#This Row],[Weight_reduction_prop]]/100</calculatedColumnFormula>
    </tableColumn>
    <tableColumn id="13" xr3:uid="{499B7B4E-0029-46A3-945D-24DECC6672C5}" name="Yield_kg/ha_HR14" dataDxfId="1">
      <calculatedColumnFormula>Tabla25[[#This Row],[Weight_kg/ha]]-Tabla25[[#This Row],[Weight_reduction]]</calculatedColumnFormula>
    </tableColumn>
    <tableColumn id="9" xr3:uid="{3883EE77-DFF2-429D-BB67-CFA3BB8D147F}" name="Observ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DD43-5B98-4890-89DC-E86A0065FF7F}">
  <dimension ref="A1:M81"/>
  <sheetViews>
    <sheetView tabSelected="1" workbookViewId="0">
      <pane ySplit="1" topLeftCell="A50" activePane="bottomLeft" state="frozen"/>
      <selection pane="bottomLeft" activeCell="M88" sqref="M88"/>
    </sheetView>
  </sheetViews>
  <sheetFormatPr baseColWidth="10" defaultColWidth="12.453125" defaultRowHeight="14.5" x14ac:dyDescent="0.35"/>
  <cols>
    <col min="1" max="1" width="11.453125" style="1" customWidth="1"/>
    <col min="2" max="2" width="8.81640625" style="1" customWidth="1"/>
    <col min="3" max="3" width="13.36328125" style="1" customWidth="1"/>
    <col min="4" max="4" width="9.6328125" style="1" customWidth="1"/>
    <col min="5" max="5" width="11.08984375" style="1" customWidth="1"/>
    <col min="6" max="6" width="12.26953125" style="1" customWidth="1"/>
    <col min="7" max="7" width="11.26953125" style="1" customWidth="1"/>
    <col min="8" max="8" width="10.81640625" style="1" customWidth="1"/>
    <col min="9" max="9" width="16.08984375" style="1" customWidth="1"/>
    <col min="10" max="10" width="23.1796875" style="4" customWidth="1"/>
    <col min="11" max="12" width="20" style="2" customWidth="1"/>
    <col min="13" max="13" width="48.08984375" style="1" customWidth="1"/>
    <col min="14" max="16384" width="12.453125" style="1"/>
  </cols>
  <sheetData>
    <row r="1" spans="1:13" x14ac:dyDescent="0.35">
      <c r="A1" s="3" t="s">
        <v>4</v>
      </c>
      <c r="B1" s="3" t="s">
        <v>5</v>
      </c>
      <c r="C1" s="3" t="s">
        <v>6</v>
      </c>
      <c r="D1" s="3" t="s">
        <v>7</v>
      </c>
      <c r="E1" s="3" t="s">
        <v>11</v>
      </c>
      <c r="F1" s="3" t="s">
        <v>12</v>
      </c>
      <c r="G1" s="3" t="s">
        <v>8</v>
      </c>
      <c r="H1" s="3" t="s">
        <v>9</v>
      </c>
      <c r="I1" s="3" t="s">
        <v>13</v>
      </c>
      <c r="J1" s="3" t="s">
        <v>16</v>
      </c>
      <c r="K1" s="3" t="s">
        <v>15</v>
      </c>
      <c r="L1" s="3" t="s">
        <v>14</v>
      </c>
      <c r="M1" s="3" t="s">
        <v>10</v>
      </c>
    </row>
    <row r="2" spans="1:13" hidden="1" x14ac:dyDescent="0.35">
      <c r="A2" s="5">
        <v>45918</v>
      </c>
      <c r="B2" s="1">
        <v>1</v>
      </c>
      <c r="C2" s="1" t="s">
        <v>0</v>
      </c>
      <c r="D2" s="1">
        <v>1</v>
      </c>
      <c r="E2" s="1">
        <v>1</v>
      </c>
      <c r="F2" s="2">
        <v>825.9</v>
      </c>
      <c r="G2" s="1">
        <v>13.95</v>
      </c>
      <c r="H2" s="1">
        <v>42.32</v>
      </c>
      <c r="I2" s="1">
        <f>Tabla25[[#This Row],[Weight_g]]*10000/1000</f>
        <v>8259</v>
      </c>
      <c r="J2" s="4">
        <f>100*(Tabla25[[#This Row],[Humidity]]-14)/(100-Tabla25[[#This Row],[Humidity]])</f>
        <v>-5.8105752469495307E-2</v>
      </c>
      <c r="K2" s="2">
        <f>Tabla25[[#This Row],[Weight_kg/ha]]*Tabla25[[#This Row],[Weight_reduction_prop]]/100</f>
        <v>-4.7989540964556179</v>
      </c>
      <c r="L2" s="2">
        <f>Tabla25[[#This Row],[Weight_kg/ha]]-Tabla25[[#This Row],[Weight_reduction]]</f>
        <v>8263.7989540964554</v>
      </c>
    </row>
    <row r="3" spans="1:13" hidden="1" x14ac:dyDescent="0.35">
      <c r="A3" s="5">
        <v>45918</v>
      </c>
      <c r="B3" s="1">
        <v>1</v>
      </c>
      <c r="C3" s="1" t="s">
        <v>0</v>
      </c>
      <c r="D3" s="1">
        <v>2</v>
      </c>
      <c r="E3" s="1">
        <v>1</v>
      </c>
      <c r="F3" s="2">
        <v>821.5</v>
      </c>
      <c r="G3" s="1">
        <v>14.61</v>
      </c>
      <c r="H3" s="1">
        <v>43.54</v>
      </c>
      <c r="I3" s="1">
        <f>Tabla25[[#This Row],[Weight_g]]*10000/1000</f>
        <v>8215</v>
      </c>
      <c r="J3" s="4">
        <f>100*(Tabla25[[#This Row],[Humidity]]-14)/(100-Tabla25[[#This Row],[Humidity]])</f>
        <v>0.71436936409415552</v>
      </c>
      <c r="K3" s="2">
        <f>Tabla25[[#This Row],[Weight_kg/ha]]*Tabla25[[#This Row],[Weight_reduction_prop]]/100</f>
        <v>58.685443260334878</v>
      </c>
      <c r="L3" s="2">
        <f>Tabla25[[#This Row],[Weight_kg/ha]]-Tabla25[[#This Row],[Weight_reduction]]</f>
        <v>8156.314556739665</v>
      </c>
    </row>
    <row r="4" spans="1:13" hidden="1" x14ac:dyDescent="0.35">
      <c r="A4" s="5">
        <v>45918</v>
      </c>
      <c r="B4" s="1">
        <v>1</v>
      </c>
      <c r="C4" s="1" t="s">
        <v>0</v>
      </c>
      <c r="D4" s="1">
        <v>3</v>
      </c>
      <c r="E4" s="1">
        <v>1</v>
      </c>
      <c r="F4" s="2">
        <v>928.3</v>
      </c>
      <c r="G4" s="1">
        <v>16.23</v>
      </c>
      <c r="H4" s="1">
        <v>43.79</v>
      </c>
      <c r="I4" s="1">
        <f>Tabla25[[#This Row],[Weight_g]]*10000/1000</f>
        <v>9283</v>
      </c>
      <c r="J4" s="4">
        <f>100*(Tabla25[[#This Row],[Humidity]]-14)/(100-Tabla25[[#This Row],[Humidity]])</f>
        <v>2.6620508535275165</v>
      </c>
      <c r="K4" s="2">
        <f>Tabla25[[#This Row],[Weight_kg/ha]]*Tabla25[[#This Row],[Weight_reduction_prop]]/100</f>
        <v>247.11818073295933</v>
      </c>
      <c r="L4" s="2">
        <f>Tabla25[[#This Row],[Weight_kg/ha]]-Tabla25[[#This Row],[Weight_reduction]]</f>
        <v>9035.8818192670406</v>
      </c>
    </row>
    <row r="5" spans="1:13" hidden="1" x14ac:dyDescent="0.35">
      <c r="A5" s="5">
        <v>45918</v>
      </c>
      <c r="B5" s="1">
        <v>1</v>
      </c>
      <c r="C5" s="1" t="s">
        <v>0</v>
      </c>
      <c r="D5" s="1">
        <v>4</v>
      </c>
      <c r="E5" s="1">
        <v>1</v>
      </c>
      <c r="F5" s="2">
        <v>864.1</v>
      </c>
      <c r="G5" s="1">
        <v>13.75</v>
      </c>
      <c r="H5" s="1">
        <v>43.33</v>
      </c>
      <c r="I5" s="1">
        <f>Tabla25[[#This Row],[Weight_g]]*10000/1000</f>
        <v>8641</v>
      </c>
      <c r="J5" s="4">
        <f>100*(Tabla25[[#This Row],[Humidity]]-14)/(100-Tabla25[[#This Row],[Humidity]])</f>
        <v>-0.28985507246376813</v>
      </c>
      <c r="K5" s="2">
        <f>Tabla25[[#This Row],[Weight_kg/ha]]*Tabla25[[#This Row],[Weight_reduction_prop]]/100</f>
        <v>-25.046376811594204</v>
      </c>
      <c r="L5" s="2">
        <f>Tabla25[[#This Row],[Weight_kg/ha]]-Tabla25[[#This Row],[Weight_reduction]]</f>
        <v>8666.0463768115951</v>
      </c>
    </row>
    <row r="6" spans="1:13" hidden="1" x14ac:dyDescent="0.35">
      <c r="A6" s="5">
        <v>45918</v>
      </c>
      <c r="B6" s="1">
        <v>1</v>
      </c>
      <c r="C6" s="1" t="s">
        <v>1</v>
      </c>
      <c r="D6" s="1">
        <v>1</v>
      </c>
      <c r="E6" s="1">
        <v>1</v>
      </c>
      <c r="F6" s="2">
        <v>761.9</v>
      </c>
      <c r="G6" s="1">
        <v>11.92</v>
      </c>
      <c r="H6" s="1">
        <v>41.78</v>
      </c>
      <c r="I6" s="1">
        <f>Tabla25[[#This Row],[Weight_g]]*10000/1000</f>
        <v>7619</v>
      </c>
      <c r="J6" s="4">
        <f>100*(Tabla25[[#This Row],[Humidity]]-14)/(100-Tabla25[[#This Row],[Humidity]])</f>
        <v>-2.3614895549500456</v>
      </c>
      <c r="K6" s="2">
        <f>Tabla25[[#This Row],[Weight_kg/ha]]*Tabla25[[#This Row],[Weight_reduction_prop]]/100</f>
        <v>-179.92188919164397</v>
      </c>
      <c r="L6" s="2">
        <f>Tabla25[[#This Row],[Weight_kg/ha]]-Tabla25[[#This Row],[Weight_reduction]]</f>
        <v>7798.9218891916444</v>
      </c>
    </row>
    <row r="7" spans="1:13" hidden="1" x14ac:dyDescent="0.35">
      <c r="A7" s="5">
        <v>45918</v>
      </c>
      <c r="B7" s="1">
        <v>1</v>
      </c>
      <c r="C7" s="1" t="s">
        <v>1</v>
      </c>
      <c r="D7" s="1">
        <v>2</v>
      </c>
      <c r="E7" s="1">
        <v>1</v>
      </c>
      <c r="F7" s="2">
        <v>856.8</v>
      </c>
      <c r="G7" s="1">
        <v>16.329999999999998</v>
      </c>
      <c r="H7" s="1">
        <v>41.81</v>
      </c>
      <c r="I7" s="1">
        <f>Tabla25[[#This Row],[Weight_g]]*10000/1000</f>
        <v>8568</v>
      </c>
      <c r="J7" s="4">
        <f>100*(Tabla25[[#This Row],[Humidity]]-14)/(100-Tabla25[[#This Row],[Humidity]])</f>
        <v>2.784749611569258</v>
      </c>
      <c r="K7" s="2">
        <f>Tabla25[[#This Row],[Weight_kg/ha]]*Tabla25[[#This Row],[Weight_reduction_prop]]/100</f>
        <v>238.59734671925401</v>
      </c>
      <c r="L7" s="2">
        <f>Tabla25[[#This Row],[Weight_kg/ha]]-Tabla25[[#This Row],[Weight_reduction]]</f>
        <v>8329.4026532807457</v>
      </c>
    </row>
    <row r="8" spans="1:13" hidden="1" x14ac:dyDescent="0.35">
      <c r="A8" s="5">
        <v>45918</v>
      </c>
      <c r="B8" s="1">
        <v>1</v>
      </c>
      <c r="C8" s="1" t="s">
        <v>1</v>
      </c>
      <c r="D8" s="1">
        <v>3</v>
      </c>
      <c r="E8" s="1">
        <v>1</v>
      </c>
      <c r="F8" s="2">
        <v>861.9</v>
      </c>
      <c r="G8" s="1">
        <v>14.85</v>
      </c>
      <c r="H8" s="1">
        <v>43.5</v>
      </c>
      <c r="I8" s="1">
        <f>Tabla25[[#This Row],[Weight_g]]*10000/1000</f>
        <v>8619</v>
      </c>
      <c r="J8" s="4">
        <f>100*(Tabla25[[#This Row],[Humidity]]-14)/(100-Tabla25[[#This Row],[Humidity]])</f>
        <v>0.99823840281855514</v>
      </c>
      <c r="K8" s="2">
        <f>Tabla25[[#This Row],[Weight_kg/ha]]*Tabla25[[#This Row],[Weight_reduction_prop]]/100</f>
        <v>86.038167938931281</v>
      </c>
      <c r="L8" s="2">
        <f>Tabla25[[#This Row],[Weight_kg/ha]]-Tabla25[[#This Row],[Weight_reduction]]</f>
        <v>8532.961832061068</v>
      </c>
    </row>
    <row r="9" spans="1:13" hidden="1" x14ac:dyDescent="0.35">
      <c r="A9" s="5">
        <v>45918</v>
      </c>
      <c r="B9" s="1">
        <v>1</v>
      </c>
      <c r="C9" s="1" t="s">
        <v>1</v>
      </c>
      <c r="D9" s="1">
        <v>4</v>
      </c>
      <c r="E9" s="1">
        <v>1</v>
      </c>
      <c r="F9" s="2">
        <v>944.91</v>
      </c>
      <c r="G9" s="1">
        <v>16.309999999999999</v>
      </c>
      <c r="H9" s="1">
        <v>41.99</v>
      </c>
      <c r="I9" s="1">
        <f>Tabla25[[#This Row],[Weight_g]]*10000/1000</f>
        <v>9449.1</v>
      </c>
      <c r="J9" s="4">
        <f>100*(Tabla25[[#This Row],[Humidity]]-14)/(100-Tabla25[[#This Row],[Humidity]])</f>
        <v>2.7601864021985887</v>
      </c>
      <c r="K9" s="2">
        <f>Tabla25[[#This Row],[Weight_kg/ha]]*Tabla25[[#This Row],[Weight_reduction_prop]]/100</f>
        <v>260.81277333014685</v>
      </c>
      <c r="L9" s="2">
        <f>Tabla25[[#This Row],[Weight_kg/ha]]-Tabla25[[#This Row],[Weight_reduction]]</f>
        <v>9188.2872266698541</v>
      </c>
    </row>
    <row r="10" spans="1:13" hidden="1" x14ac:dyDescent="0.35">
      <c r="A10" s="5">
        <v>45918</v>
      </c>
      <c r="B10" s="1">
        <v>1</v>
      </c>
      <c r="C10" s="1" t="s">
        <v>2</v>
      </c>
      <c r="D10" s="1">
        <v>1</v>
      </c>
      <c r="E10" s="1">
        <v>1</v>
      </c>
      <c r="F10" s="2">
        <v>935.6</v>
      </c>
      <c r="G10" s="1">
        <v>16.149999999999999</v>
      </c>
      <c r="H10" s="1">
        <v>43</v>
      </c>
      <c r="I10" s="1">
        <f>Tabla25[[#This Row],[Weight_g]]*10000/1000</f>
        <v>9356</v>
      </c>
      <c r="J10" s="4">
        <f>100*(Tabla25[[#This Row],[Humidity]]-14)/(100-Tabla25[[#This Row],[Humidity]])</f>
        <v>2.5641025641025625</v>
      </c>
      <c r="K10" s="2">
        <f>Tabla25[[#This Row],[Weight_kg/ha]]*Tabla25[[#This Row],[Weight_reduction_prop]]/100</f>
        <v>239.89743589743574</v>
      </c>
      <c r="L10" s="2">
        <f>Tabla25[[#This Row],[Weight_kg/ha]]-Tabla25[[#This Row],[Weight_reduction]]</f>
        <v>9116.1025641025644</v>
      </c>
    </row>
    <row r="11" spans="1:13" hidden="1" x14ac:dyDescent="0.35">
      <c r="A11" s="5">
        <v>45918</v>
      </c>
      <c r="B11" s="1">
        <v>1</v>
      </c>
      <c r="C11" s="1" t="s">
        <v>2</v>
      </c>
      <c r="D11" s="1">
        <v>2</v>
      </c>
      <c r="E11" s="1">
        <v>1</v>
      </c>
      <c r="F11" s="2">
        <v>967.9</v>
      </c>
      <c r="G11" s="1">
        <v>15.96</v>
      </c>
      <c r="H11" s="1">
        <v>42.85</v>
      </c>
      <c r="I11" s="1">
        <f>Tabla25[[#This Row],[Weight_g]]*10000/1000</f>
        <v>9679</v>
      </c>
      <c r="J11" s="4">
        <f>100*(Tabla25[[#This Row],[Humidity]]-14)/(100-Tabla25[[#This Row],[Humidity]])</f>
        <v>2.3322227510709199</v>
      </c>
      <c r="K11" s="2">
        <f>Tabla25[[#This Row],[Weight_kg/ha]]*Tabla25[[#This Row],[Weight_reduction_prop]]/100</f>
        <v>225.73584007615435</v>
      </c>
      <c r="L11" s="2">
        <f>Tabla25[[#This Row],[Weight_kg/ha]]-Tabla25[[#This Row],[Weight_reduction]]</f>
        <v>9453.264159923845</v>
      </c>
    </row>
    <row r="12" spans="1:13" hidden="1" x14ac:dyDescent="0.35">
      <c r="A12" s="5">
        <v>45918</v>
      </c>
      <c r="B12" s="1">
        <v>1</v>
      </c>
      <c r="C12" s="1" t="s">
        <v>2</v>
      </c>
      <c r="D12" s="1">
        <v>3</v>
      </c>
      <c r="E12" s="1">
        <v>1</v>
      </c>
      <c r="F12" s="2">
        <v>1004.86</v>
      </c>
      <c r="G12" s="1">
        <v>17.39</v>
      </c>
      <c r="H12" s="1">
        <v>42.26</v>
      </c>
      <c r="I12" s="1">
        <f>Tabla25[[#This Row],[Weight_g]]*10000/1000</f>
        <v>10048.6</v>
      </c>
      <c r="J12" s="4">
        <f>100*(Tabla25[[#This Row],[Humidity]]-14)/(100-Tabla25[[#This Row],[Humidity]])</f>
        <v>4.1036194165355289</v>
      </c>
      <c r="K12" s="2">
        <f>Tabla25[[#This Row],[Weight_kg/ha]]*Tabla25[[#This Row],[Weight_reduction_prop]]/100</f>
        <v>412.35630068998915</v>
      </c>
      <c r="L12" s="2">
        <f>Tabla25[[#This Row],[Weight_kg/ha]]-Tabla25[[#This Row],[Weight_reduction]]</f>
        <v>9636.2436993100109</v>
      </c>
    </row>
    <row r="13" spans="1:13" hidden="1" x14ac:dyDescent="0.35">
      <c r="A13" s="5">
        <v>45918</v>
      </c>
      <c r="B13" s="1">
        <v>1</v>
      </c>
      <c r="C13" s="1" t="s">
        <v>2</v>
      </c>
      <c r="D13" s="1">
        <v>4</v>
      </c>
      <c r="E13" s="1">
        <v>1</v>
      </c>
      <c r="F13" s="2">
        <v>968.2</v>
      </c>
      <c r="G13" s="1">
        <v>17.47</v>
      </c>
      <c r="H13" s="1">
        <v>42.3</v>
      </c>
      <c r="I13" s="1">
        <f>Tabla25[[#This Row],[Weight_g]]*10000/1000</f>
        <v>9682</v>
      </c>
      <c r="J13" s="4">
        <f>100*(Tabla25[[#This Row],[Humidity]]-14)/(100-Tabla25[[#This Row],[Humidity]])</f>
        <v>4.2045316854477148</v>
      </c>
      <c r="K13" s="2">
        <f>Tabla25[[#This Row],[Weight_kg/ha]]*Tabla25[[#This Row],[Weight_reduction_prop]]/100</f>
        <v>407.0827577850477</v>
      </c>
      <c r="L13" s="2">
        <f>Tabla25[[#This Row],[Weight_kg/ha]]-Tabla25[[#This Row],[Weight_reduction]]</f>
        <v>9274.9172422149531</v>
      </c>
    </row>
    <row r="14" spans="1:13" hidden="1" x14ac:dyDescent="0.35">
      <c r="A14" s="5">
        <v>45918</v>
      </c>
      <c r="B14" s="1">
        <v>1</v>
      </c>
      <c r="C14" s="1" t="s">
        <v>3</v>
      </c>
      <c r="D14" s="1">
        <v>1</v>
      </c>
      <c r="E14" s="1">
        <v>1</v>
      </c>
      <c r="F14" s="2">
        <v>955.3</v>
      </c>
      <c r="G14" s="1">
        <v>17.05</v>
      </c>
      <c r="H14" s="1">
        <v>44.02</v>
      </c>
      <c r="I14" s="1">
        <f>Tabla25[[#This Row],[Weight_g]]*10000/1000</f>
        <v>9553</v>
      </c>
      <c r="J14" s="4">
        <f>100*(Tabla25[[#This Row],[Humidity]]-14)/(100-Tabla25[[#This Row],[Humidity]])</f>
        <v>3.6769138034960824</v>
      </c>
      <c r="K14" s="2">
        <f>Tabla25[[#This Row],[Weight_kg/ha]]*Tabla25[[#This Row],[Weight_reduction_prop]]/100</f>
        <v>351.25557564798072</v>
      </c>
      <c r="L14" s="2">
        <f>Tabla25[[#This Row],[Weight_kg/ha]]-Tabla25[[#This Row],[Weight_reduction]]</f>
        <v>9201.7444243520185</v>
      </c>
    </row>
    <row r="15" spans="1:13" hidden="1" x14ac:dyDescent="0.35">
      <c r="A15" s="5">
        <v>45918</v>
      </c>
      <c r="B15" s="1">
        <v>1</v>
      </c>
      <c r="C15" s="1" t="s">
        <v>3</v>
      </c>
      <c r="D15" s="1">
        <v>2</v>
      </c>
      <c r="E15" s="1">
        <v>1</v>
      </c>
      <c r="F15" s="2">
        <v>938.4</v>
      </c>
      <c r="G15" s="1">
        <v>15.61</v>
      </c>
      <c r="H15" s="1">
        <v>43.68</v>
      </c>
      <c r="I15" s="1">
        <f>Tabla25[[#This Row],[Weight_g]]*10000/1000</f>
        <v>9384</v>
      </c>
      <c r="J15" s="4">
        <f>100*(Tabla25[[#This Row],[Humidity]]-14)/(100-Tabla25[[#This Row],[Humidity]])</f>
        <v>1.907808982106884</v>
      </c>
      <c r="K15" s="2">
        <f>Tabla25[[#This Row],[Weight_kg/ha]]*Tabla25[[#This Row],[Weight_reduction_prop]]/100</f>
        <v>179.02879488091</v>
      </c>
      <c r="L15" s="2">
        <f>Tabla25[[#This Row],[Weight_kg/ha]]-Tabla25[[#This Row],[Weight_reduction]]</f>
        <v>9204.9712051190909</v>
      </c>
    </row>
    <row r="16" spans="1:13" hidden="1" x14ac:dyDescent="0.35">
      <c r="A16" s="5">
        <v>45918</v>
      </c>
      <c r="B16" s="1">
        <v>1</v>
      </c>
      <c r="C16" s="1" t="s">
        <v>3</v>
      </c>
      <c r="D16" s="1">
        <v>3</v>
      </c>
      <c r="E16" s="1">
        <v>1</v>
      </c>
      <c r="F16" s="2">
        <v>949.03</v>
      </c>
      <c r="G16" s="1">
        <v>15.64</v>
      </c>
      <c r="H16" s="1">
        <v>42.89</v>
      </c>
      <c r="I16" s="1">
        <f>Tabla25[[#This Row],[Weight_g]]*10000/1000</f>
        <v>9490.2999999999993</v>
      </c>
      <c r="J16" s="4">
        <f>100*(Tabla25[[#This Row],[Humidity]]-14)/(100-Tabla25[[#This Row],[Humidity]])</f>
        <v>1.9440493124703657</v>
      </c>
      <c r="K16" s="2">
        <f>Tabla25[[#This Row],[Weight_kg/ha]]*Tabla25[[#This Row],[Weight_reduction_prop]]/100</f>
        <v>184.49611190137512</v>
      </c>
      <c r="L16" s="2">
        <f>Tabla25[[#This Row],[Weight_kg/ha]]-Tabla25[[#This Row],[Weight_reduction]]</f>
        <v>9305.8038880986242</v>
      </c>
    </row>
    <row r="17" spans="1:12" hidden="1" x14ac:dyDescent="0.35">
      <c r="A17" s="5">
        <v>45918</v>
      </c>
      <c r="B17" s="1">
        <v>1</v>
      </c>
      <c r="C17" s="1" t="s">
        <v>3</v>
      </c>
      <c r="D17" s="1">
        <v>4</v>
      </c>
      <c r="E17" s="1">
        <v>1</v>
      </c>
      <c r="F17" s="2">
        <v>828</v>
      </c>
      <c r="G17" s="1">
        <v>10.76</v>
      </c>
      <c r="H17" s="1">
        <v>44.24</v>
      </c>
      <c r="I17" s="1">
        <f>Tabla25[[#This Row],[Weight_g]]*10000/1000</f>
        <v>8280</v>
      </c>
      <c r="J17" s="4">
        <f>100*(Tabla25[[#This Row],[Humidity]]-14)/(100-Tabla25[[#This Row],[Humidity]])</f>
        <v>-3.6306588973554463</v>
      </c>
      <c r="K17" s="2">
        <f>Tabla25[[#This Row],[Weight_kg/ha]]*Tabla25[[#This Row],[Weight_reduction_prop]]/100</f>
        <v>-300.61855670103091</v>
      </c>
      <c r="L17" s="2">
        <f>Tabla25[[#This Row],[Weight_kg/ha]]-Tabla25[[#This Row],[Weight_reduction]]</f>
        <v>8580.6185567010307</v>
      </c>
    </row>
    <row r="18" spans="1:12" hidden="1" x14ac:dyDescent="0.35">
      <c r="A18" s="5">
        <v>45918</v>
      </c>
      <c r="B18" s="1">
        <v>2</v>
      </c>
      <c r="C18" s="1" t="s">
        <v>0</v>
      </c>
      <c r="D18" s="1">
        <v>1</v>
      </c>
      <c r="E18" s="1">
        <v>1</v>
      </c>
      <c r="F18" s="2">
        <v>1088.25</v>
      </c>
      <c r="G18" s="1">
        <v>16.61</v>
      </c>
      <c r="H18" s="1">
        <v>41.61</v>
      </c>
      <c r="I18" s="1">
        <f>Tabla25[[#This Row],[Weight_g]]*10000/1000</f>
        <v>10882.5</v>
      </c>
      <c r="J18" s="4">
        <f>100*(Tabla25[[#This Row],[Humidity]]-14)/(100-Tabla25[[#This Row],[Humidity]])</f>
        <v>3.1298716872526673</v>
      </c>
      <c r="K18" s="2">
        <f>Tabla25[[#This Row],[Weight_kg/ha]]*Tabla25[[#This Row],[Weight_reduction_prop]]/100</f>
        <v>340.60828636527151</v>
      </c>
      <c r="L18" s="2">
        <f>Tabla25[[#This Row],[Weight_kg/ha]]-Tabla25[[#This Row],[Weight_reduction]]</f>
        <v>10541.891713634728</v>
      </c>
    </row>
    <row r="19" spans="1:12" hidden="1" x14ac:dyDescent="0.35">
      <c r="A19" s="5">
        <v>45918</v>
      </c>
      <c r="B19" s="1">
        <v>2</v>
      </c>
      <c r="C19" s="1" t="s">
        <v>0</v>
      </c>
      <c r="D19" s="1">
        <v>2</v>
      </c>
      <c r="E19" s="1">
        <v>1</v>
      </c>
      <c r="F19" s="2">
        <v>1076.5</v>
      </c>
      <c r="G19" s="1">
        <v>17.41</v>
      </c>
      <c r="H19" s="1">
        <v>42.52</v>
      </c>
      <c r="I19" s="1">
        <f>Tabla25[[#This Row],[Weight_g]]*10000/1000</f>
        <v>10765</v>
      </c>
      <c r="J19" s="4">
        <f>100*(Tabla25[[#This Row],[Humidity]]-14)/(100-Tabla25[[#This Row],[Humidity]])</f>
        <v>4.1288291560721637</v>
      </c>
      <c r="K19" s="2">
        <f>Tabla25[[#This Row],[Weight_kg/ha]]*Tabla25[[#This Row],[Weight_reduction_prop]]/100</f>
        <v>444.46845865116842</v>
      </c>
      <c r="L19" s="2">
        <f>Tabla25[[#This Row],[Weight_kg/ha]]-Tabla25[[#This Row],[Weight_reduction]]</f>
        <v>10320.531541348832</v>
      </c>
    </row>
    <row r="20" spans="1:12" hidden="1" x14ac:dyDescent="0.35">
      <c r="A20" s="5">
        <v>45918</v>
      </c>
      <c r="B20" s="1">
        <v>2</v>
      </c>
      <c r="C20" s="1" t="s">
        <v>0</v>
      </c>
      <c r="D20" s="1">
        <v>3</v>
      </c>
      <c r="E20" s="1">
        <v>1</v>
      </c>
      <c r="F20" s="2">
        <v>956.9</v>
      </c>
      <c r="G20" s="1">
        <v>16.75</v>
      </c>
      <c r="H20" s="1">
        <v>42.62</v>
      </c>
      <c r="I20" s="1">
        <f>Tabla25[[#This Row],[Weight_g]]*10000/1000</f>
        <v>9569</v>
      </c>
      <c r="J20" s="4">
        <f>100*(Tabla25[[#This Row],[Humidity]]-14)/(100-Tabla25[[#This Row],[Humidity]])</f>
        <v>3.3033033033033035</v>
      </c>
      <c r="K20" s="2">
        <f>Tabla25[[#This Row],[Weight_kg/ha]]*Tabla25[[#This Row],[Weight_reduction_prop]]/100</f>
        <v>316.0930930930931</v>
      </c>
      <c r="L20" s="2">
        <f>Tabla25[[#This Row],[Weight_kg/ha]]-Tabla25[[#This Row],[Weight_reduction]]</f>
        <v>9252.9069069069064</v>
      </c>
    </row>
    <row r="21" spans="1:12" hidden="1" x14ac:dyDescent="0.35">
      <c r="A21" s="5">
        <v>45918</v>
      </c>
      <c r="B21" s="1">
        <v>2</v>
      </c>
      <c r="C21" s="1" t="s">
        <v>0</v>
      </c>
      <c r="D21" s="1">
        <v>4</v>
      </c>
      <c r="E21" s="1">
        <v>1</v>
      </c>
      <c r="F21" s="2">
        <v>1006.7</v>
      </c>
      <c r="G21" s="1">
        <v>11.61</v>
      </c>
      <c r="H21" s="1">
        <v>44.76</v>
      </c>
      <c r="I21" s="1">
        <f>Tabla25[[#This Row],[Weight_g]]*10000/1000</f>
        <v>10067</v>
      </c>
      <c r="J21" s="4">
        <f>100*(Tabla25[[#This Row],[Humidity]]-14)/(100-Tabla25[[#This Row],[Humidity]])</f>
        <v>-2.7039257834596682</v>
      </c>
      <c r="K21" s="2">
        <f>Tabla25[[#This Row],[Weight_kg/ha]]*Tabla25[[#This Row],[Weight_reduction_prop]]/100</f>
        <v>-272.2042086208848</v>
      </c>
      <c r="L21" s="2">
        <f>Tabla25[[#This Row],[Weight_kg/ha]]-Tabla25[[#This Row],[Weight_reduction]]</f>
        <v>10339.204208620884</v>
      </c>
    </row>
    <row r="22" spans="1:12" hidden="1" x14ac:dyDescent="0.35">
      <c r="A22" s="5">
        <v>45918</v>
      </c>
      <c r="B22" s="1">
        <v>2</v>
      </c>
      <c r="C22" s="1" t="s">
        <v>2</v>
      </c>
      <c r="D22" s="1">
        <v>1</v>
      </c>
      <c r="E22" s="1">
        <v>1</v>
      </c>
      <c r="F22" s="2">
        <v>881.4</v>
      </c>
      <c r="G22" s="1">
        <v>16.399999999999999</v>
      </c>
      <c r="H22" s="1">
        <v>44.28</v>
      </c>
      <c r="I22" s="1">
        <f>Tabla25[[#This Row],[Weight_g]]*10000/1000</f>
        <v>8814</v>
      </c>
      <c r="J22" s="4">
        <f>100*(Tabla25[[#This Row],[Humidity]]-14)/(100-Tabla25[[#This Row],[Humidity]])</f>
        <v>2.8708133971291852</v>
      </c>
      <c r="K22" s="2">
        <f>Tabla25[[#This Row],[Weight_kg/ha]]*Tabla25[[#This Row],[Weight_reduction_prop]]/100</f>
        <v>253.03349282296637</v>
      </c>
      <c r="L22" s="2">
        <f>Tabla25[[#This Row],[Weight_kg/ha]]-Tabla25[[#This Row],[Weight_reduction]]</f>
        <v>8560.9665071770341</v>
      </c>
    </row>
    <row r="23" spans="1:12" hidden="1" x14ac:dyDescent="0.35">
      <c r="A23" s="5">
        <v>45918</v>
      </c>
      <c r="B23" s="1">
        <v>2</v>
      </c>
      <c r="C23" s="1" t="s">
        <v>2</v>
      </c>
      <c r="D23" s="1">
        <v>2</v>
      </c>
      <c r="E23" s="1">
        <v>1</v>
      </c>
      <c r="F23" s="2">
        <v>926.3</v>
      </c>
      <c r="G23" s="1">
        <v>18.18</v>
      </c>
      <c r="H23" s="1">
        <v>43.38</v>
      </c>
      <c r="I23" s="1">
        <f>Tabla25[[#This Row],[Weight_g]]*10000/1000</f>
        <v>9263</v>
      </c>
      <c r="J23" s="4">
        <f>100*(Tabla25[[#This Row],[Humidity]]-14)/(100-Tabla25[[#This Row],[Humidity]])</f>
        <v>5.1087753605475434</v>
      </c>
      <c r="K23" s="2">
        <f>Tabla25[[#This Row],[Weight_kg/ha]]*Tabla25[[#This Row],[Weight_reduction_prop]]/100</f>
        <v>473.22586164751897</v>
      </c>
      <c r="L23" s="2">
        <f>Tabla25[[#This Row],[Weight_kg/ha]]-Tabla25[[#This Row],[Weight_reduction]]</f>
        <v>8789.7741383524808</v>
      </c>
    </row>
    <row r="24" spans="1:12" hidden="1" x14ac:dyDescent="0.35">
      <c r="A24" s="5">
        <v>45918</v>
      </c>
      <c r="B24" s="1">
        <v>2</v>
      </c>
      <c r="C24" s="1" t="s">
        <v>2</v>
      </c>
      <c r="D24" s="1">
        <v>3</v>
      </c>
      <c r="E24" s="1">
        <v>1</v>
      </c>
      <c r="F24" s="2">
        <v>1086</v>
      </c>
      <c r="G24" s="1">
        <v>19.45</v>
      </c>
      <c r="H24" s="1">
        <v>42.27</v>
      </c>
      <c r="I24" s="1">
        <f>Tabla25[[#This Row],[Weight_g]]*10000/1000</f>
        <v>10860</v>
      </c>
      <c r="J24" s="4">
        <f>100*(Tabla25[[#This Row],[Humidity]]-14)/(100-Tabla25[[#This Row],[Humidity]])</f>
        <v>6.7659838609559264</v>
      </c>
      <c r="K24" s="2">
        <f>Tabla25[[#This Row],[Weight_kg/ha]]*Tabla25[[#This Row],[Weight_reduction_prop]]/100</f>
        <v>734.78584729981367</v>
      </c>
      <c r="L24" s="2">
        <f>Tabla25[[#This Row],[Weight_kg/ha]]-Tabla25[[#This Row],[Weight_reduction]]</f>
        <v>10125.214152700186</v>
      </c>
    </row>
    <row r="25" spans="1:12" hidden="1" x14ac:dyDescent="0.35">
      <c r="A25" s="5">
        <v>45918</v>
      </c>
      <c r="B25" s="1">
        <v>2</v>
      </c>
      <c r="C25" s="1" t="s">
        <v>2</v>
      </c>
      <c r="D25" s="1">
        <v>4</v>
      </c>
      <c r="E25" s="1">
        <v>1</v>
      </c>
      <c r="F25" s="2">
        <v>903.5</v>
      </c>
      <c r="G25" s="1">
        <v>16.64</v>
      </c>
      <c r="H25" s="1">
        <v>42.66</v>
      </c>
      <c r="I25" s="1">
        <f>Tabla25[[#This Row],[Weight_g]]*10000/1000</f>
        <v>9035</v>
      </c>
      <c r="J25" s="4">
        <f>100*(Tabla25[[#This Row],[Humidity]]-14)/(100-Tabla25[[#This Row],[Humidity]])</f>
        <v>3.166986564299425</v>
      </c>
      <c r="K25" s="2">
        <f>Tabla25[[#This Row],[Weight_kg/ha]]*Tabla25[[#This Row],[Weight_reduction_prop]]/100</f>
        <v>286.13723608445309</v>
      </c>
      <c r="L25" s="2">
        <f>Tabla25[[#This Row],[Weight_kg/ha]]-Tabla25[[#This Row],[Weight_reduction]]</f>
        <v>8748.8627639155475</v>
      </c>
    </row>
    <row r="26" spans="1:12" hidden="1" x14ac:dyDescent="0.35">
      <c r="A26" s="5">
        <v>45918</v>
      </c>
      <c r="B26" s="1">
        <v>2</v>
      </c>
      <c r="C26" s="1" t="s">
        <v>1</v>
      </c>
      <c r="D26" s="1">
        <v>1</v>
      </c>
      <c r="E26" s="1">
        <v>1</v>
      </c>
      <c r="F26" s="2">
        <v>855.3</v>
      </c>
      <c r="G26" s="1">
        <v>16.579999999999998</v>
      </c>
      <c r="H26" s="1">
        <v>43.95</v>
      </c>
      <c r="I26" s="1">
        <f>Tabla25[[#This Row],[Weight_g]]*10000/1000</f>
        <v>8553</v>
      </c>
      <c r="J26" s="4">
        <f>100*(Tabla25[[#This Row],[Humidity]]-14)/(100-Tabla25[[#This Row],[Humidity]])</f>
        <v>3.0927835051546371</v>
      </c>
      <c r="K26" s="2">
        <f>Tabla25[[#This Row],[Weight_kg/ha]]*Tabla25[[#This Row],[Weight_reduction_prop]]/100</f>
        <v>264.52577319587613</v>
      </c>
      <c r="L26" s="2">
        <f>Tabla25[[#This Row],[Weight_kg/ha]]-Tabla25[[#This Row],[Weight_reduction]]</f>
        <v>8288.4742268041246</v>
      </c>
    </row>
    <row r="27" spans="1:12" hidden="1" x14ac:dyDescent="0.35">
      <c r="A27" s="5">
        <v>45918</v>
      </c>
      <c r="B27" s="1">
        <v>2</v>
      </c>
      <c r="C27" s="1" t="s">
        <v>1</v>
      </c>
      <c r="D27" s="1">
        <v>2</v>
      </c>
      <c r="E27" s="1">
        <v>1</v>
      </c>
      <c r="F27" s="2">
        <v>886.6</v>
      </c>
      <c r="G27" s="1">
        <v>15.63</v>
      </c>
      <c r="H27" s="1">
        <v>42.33</v>
      </c>
      <c r="I27" s="1">
        <f>Tabla25[[#This Row],[Weight_g]]*10000/1000</f>
        <v>8866</v>
      </c>
      <c r="J27" s="4">
        <f>100*(Tabla25[[#This Row],[Humidity]]-14)/(100-Tabla25[[#This Row],[Humidity]])</f>
        <v>1.9319663387460007</v>
      </c>
      <c r="K27" s="2">
        <f>Tabla25[[#This Row],[Weight_kg/ha]]*Tabla25[[#This Row],[Weight_reduction_prop]]/100</f>
        <v>171.28813559322043</v>
      </c>
      <c r="L27" s="2">
        <f>Tabla25[[#This Row],[Weight_kg/ha]]-Tabla25[[#This Row],[Weight_reduction]]</f>
        <v>8694.7118644067796</v>
      </c>
    </row>
    <row r="28" spans="1:12" hidden="1" x14ac:dyDescent="0.35">
      <c r="A28" s="5">
        <v>45918</v>
      </c>
      <c r="B28" s="1">
        <v>2</v>
      </c>
      <c r="C28" s="1" t="s">
        <v>1</v>
      </c>
      <c r="D28" s="1">
        <v>3</v>
      </c>
      <c r="E28" s="1">
        <v>1</v>
      </c>
      <c r="F28" s="2">
        <v>973.6</v>
      </c>
      <c r="G28" s="1">
        <v>18.079999999999998</v>
      </c>
      <c r="H28" s="1">
        <v>42.36</v>
      </c>
      <c r="I28" s="1">
        <f>Tabla25[[#This Row],[Weight_g]]*10000/1000</f>
        <v>9736</v>
      </c>
      <c r="J28" s="4">
        <f>100*(Tabla25[[#This Row],[Humidity]]-14)/(100-Tabla25[[#This Row],[Humidity]])</f>
        <v>4.9804687499999982</v>
      </c>
      <c r="K28" s="2">
        <f>Tabla25[[#This Row],[Weight_kg/ha]]*Tabla25[[#This Row],[Weight_reduction_prop]]/100</f>
        <v>484.89843749999983</v>
      </c>
      <c r="L28" s="2">
        <f>Tabla25[[#This Row],[Weight_kg/ha]]-Tabla25[[#This Row],[Weight_reduction]]</f>
        <v>9251.1015625</v>
      </c>
    </row>
    <row r="29" spans="1:12" hidden="1" x14ac:dyDescent="0.35">
      <c r="A29" s="5">
        <v>45918</v>
      </c>
      <c r="B29" s="1">
        <v>2</v>
      </c>
      <c r="C29" s="1" t="s">
        <v>1</v>
      </c>
      <c r="D29" s="1">
        <v>4</v>
      </c>
      <c r="E29" s="1">
        <v>1</v>
      </c>
      <c r="F29" s="2">
        <v>848.9</v>
      </c>
      <c r="G29" s="1">
        <v>18.38</v>
      </c>
      <c r="H29" s="1">
        <v>44.16</v>
      </c>
      <c r="I29" s="1">
        <f>Tabla25[[#This Row],[Weight_g]]*10000/1000</f>
        <v>8489</v>
      </c>
      <c r="J29" s="4">
        <f>100*(Tabla25[[#This Row],[Humidity]]-14)/(100-Tabla25[[#This Row],[Humidity]])</f>
        <v>5.3663317814261191</v>
      </c>
      <c r="K29" s="2">
        <f>Tabla25[[#This Row],[Weight_kg/ha]]*Tabla25[[#This Row],[Weight_reduction_prop]]/100</f>
        <v>455.54790492526331</v>
      </c>
      <c r="L29" s="2">
        <f>Tabla25[[#This Row],[Weight_kg/ha]]-Tabla25[[#This Row],[Weight_reduction]]</f>
        <v>8033.4520950747365</v>
      </c>
    </row>
    <row r="30" spans="1:12" hidden="1" x14ac:dyDescent="0.35">
      <c r="A30" s="5">
        <v>45918</v>
      </c>
      <c r="B30" s="1">
        <v>2</v>
      </c>
      <c r="C30" s="1" t="s">
        <v>3</v>
      </c>
      <c r="D30" s="1">
        <v>1</v>
      </c>
      <c r="E30" s="1">
        <v>1</v>
      </c>
      <c r="F30" s="2">
        <v>873.2</v>
      </c>
      <c r="G30" s="1">
        <v>14.85</v>
      </c>
      <c r="H30" s="1">
        <v>43.04</v>
      </c>
      <c r="I30" s="1">
        <f>Tabla25[[#This Row],[Weight_g]]*10000/1000</f>
        <v>8732</v>
      </c>
      <c r="J30" s="4">
        <f>100*(Tabla25[[#This Row],[Humidity]]-14)/(100-Tabla25[[#This Row],[Humidity]])</f>
        <v>0.99823840281855514</v>
      </c>
      <c r="K30" s="2">
        <f>Tabla25[[#This Row],[Weight_kg/ha]]*Tabla25[[#This Row],[Weight_reduction_prop]]/100</f>
        <v>87.166177334116242</v>
      </c>
      <c r="L30" s="2">
        <f>Tabla25[[#This Row],[Weight_kg/ha]]-Tabla25[[#This Row],[Weight_reduction]]</f>
        <v>8644.8338226658834</v>
      </c>
    </row>
    <row r="31" spans="1:12" hidden="1" x14ac:dyDescent="0.35">
      <c r="A31" s="5">
        <v>45918</v>
      </c>
      <c r="B31" s="1">
        <v>2</v>
      </c>
      <c r="C31" s="1" t="s">
        <v>3</v>
      </c>
      <c r="D31" s="1">
        <v>2</v>
      </c>
      <c r="E31" s="1">
        <v>1</v>
      </c>
      <c r="F31" s="2">
        <v>992.8</v>
      </c>
      <c r="G31" s="1">
        <v>17.23</v>
      </c>
      <c r="H31" s="1">
        <v>42.78</v>
      </c>
      <c r="I31" s="1">
        <f>Tabla25[[#This Row],[Weight_g]]*10000/1000</f>
        <v>9928</v>
      </c>
      <c r="J31" s="4">
        <f>100*(Tabla25[[#This Row],[Humidity]]-14)/(100-Tabla25[[#This Row],[Humidity]])</f>
        <v>3.9023800894043745</v>
      </c>
      <c r="K31" s="2">
        <f>Tabla25[[#This Row],[Weight_kg/ha]]*Tabla25[[#This Row],[Weight_reduction_prop]]/100</f>
        <v>387.42829527606625</v>
      </c>
      <c r="L31" s="2">
        <f>Tabla25[[#This Row],[Weight_kg/ha]]-Tabla25[[#This Row],[Weight_reduction]]</f>
        <v>9540.5717047239341</v>
      </c>
    </row>
    <row r="32" spans="1:12" hidden="1" x14ac:dyDescent="0.35">
      <c r="A32" s="5">
        <v>45918</v>
      </c>
      <c r="B32" s="1">
        <v>2</v>
      </c>
      <c r="C32" s="1" t="s">
        <v>3</v>
      </c>
      <c r="D32" s="1">
        <v>3</v>
      </c>
      <c r="E32" s="1">
        <v>1</v>
      </c>
      <c r="F32" s="2">
        <v>986.5</v>
      </c>
      <c r="G32" s="1">
        <v>17.27</v>
      </c>
      <c r="H32" s="1">
        <v>42.6</v>
      </c>
      <c r="I32" s="1">
        <f>Tabla25[[#This Row],[Weight_g]]*10000/1000</f>
        <v>9865</v>
      </c>
      <c r="J32" s="4">
        <f>100*(Tabla25[[#This Row],[Humidity]]-14)/(100-Tabla25[[#This Row],[Humidity]])</f>
        <v>3.9526169466940639</v>
      </c>
      <c r="K32" s="2">
        <f>Tabla25[[#This Row],[Weight_kg/ha]]*Tabla25[[#This Row],[Weight_reduction_prop]]/100</f>
        <v>389.92566179136941</v>
      </c>
      <c r="L32" s="2">
        <f>Tabla25[[#This Row],[Weight_kg/ha]]-Tabla25[[#This Row],[Weight_reduction]]</f>
        <v>9475.0743382086312</v>
      </c>
    </row>
    <row r="33" spans="1:12" hidden="1" x14ac:dyDescent="0.35">
      <c r="A33" s="5">
        <v>45918</v>
      </c>
      <c r="B33" s="1">
        <v>2</v>
      </c>
      <c r="C33" s="1" t="s">
        <v>3</v>
      </c>
      <c r="D33" s="1">
        <v>4</v>
      </c>
      <c r="E33" s="1">
        <v>1</v>
      </c>
      <c r="F33" s="2">
        <v>962.8</v>
      </c>
      <c r="G33" s="1">
        <v>16.03</v>
      </c>
      <c r="H33" s="1">
        <v>43.81</v>
      </c>
      <c r="I33" s="1">
        <f>Tabla25[[#This Row],[Weight_g]]*10000/1000</f>
        <v>9628</v>
      </c>
      <c r="J33" s="4">
        <f>100*(Tabla25[[#This Row],[Humidity]]-14)/(100-Tabla25[[#This Row],[Humidity]])</f>
        <v>2.4175300702631906</v>
      </c>
      <c r="K33" s="2">
        <f>Tabla25[[#This Row],[Weight_kg/ha]]*Tabla25[[#This Row],[Weight_reduction_prop]]/100</f>
        <v>232.75979516493996</v>
      </c>
      <c r="L33" s="2">
        <f>Tabla25[[#This Row],[Weight_kg/ha]]-Tabla25[[#This Row],[Weight_reduction]]</f>
        <v>9395.2402048350596</v>
      </c>
    </row>
    <row r="34" spans="1:12" hidden="1" x14ac:dyDescent="0.35">
      <c r="A34" s="5">
        <v>45917</v>
      </c>
      <c r="B34" s="1">
        <v>3</v>
      </c>
      <c r="C34" s="1" t="s">
        <v>2</v>
      </c>
      <c r="D34" s="1">
        <v>1</v>
      </c>
      <c r="E34" s="1">
        <v>1</v>
      </c>
      <c r="F34" s="2">
        <v>841.86</v>
      </c>
      <c r="G34" s="1">
        <v>13.63</v>
      </c>
      <c r="H34" s="1">
        <v>45.87</v>
      </c>
      <c r="I34" s="1">
        <f>Tabla25[[#This Row],[Weight_g]]*10000/1000</f>
        <v>8418.6</v>
      </c>
      <c r="J34" s="4">
        <f>100*(Tabla25[[#This Row],[Humidity]]-14)/(100-Tabla25[[#This Row],[Humidity]])</f>
        <v>-0.42838948709042401</v>
      </c>
      <c r="K34" s="2">
        <f>Tabla25[[#This Row],[Weight_kg/ha]]*Tabla25[[#This Row],[Weight_reduction_prop]]/100</f>
        <v>-36.064397360194441</v>
      </c>
      <c r="L34" s="2">
        <f>Tabla25[[#This Row],[Weight_kg/ha]]-Tabla25[[#This Row],[Weight_reduction]]</f>
        <v>8454.6643973601949</v>
      </c>
    </row>
    <row r="35" spans="1:12" hidden="1" x14ac:dyDescent="0.35">
      <c r="A35" s="5">
        <v>45917</v>
      </c>
      <c r="B35" s="1">
        <v>3</v>
      </c>
      <c r="C35" s="1" t="s">
        <v>2</v>
      </c>
      <c r="D35" s="1">
        <v>2</v>
      </c>
      <c r="E35" s="1">
        <v>1</v>
      </c>
      <c r="F35" s="2">
        <v>923.2</v>
      </c>
      <c r="G35" s="1">
        <v>20.22</v>
      </c>
      <c r="H35" s="1">
        <v>44.01</v>
      </c>
      <c r="I35" s="1">
        <f>Tabla25[[#This Row],[Weight_g]]*10000/1000</f>
        <v>9232</v>
      </c>
      <c r="J35" s="4">
        <f>100*(Tabla25[[#This Row],[Humidity]]-14)/(100-Tabla25[[#This Row],[Humidity]])</f>
        <v>7.7964402105790906</v>
      </c>
      <c r="K35" s="2">
        <f>Tabla25[[#This Row],[Weight_kg/ha]]*Tabla25[[#This Row],[Weight_reduction_prop]]/100</f>
        <v>719.76736024066167</v>
      </c>
      <c r="L35" s="2">
        <f>Tabla25[[#This Row],[Weight_kg/ha]]-Tabla25[[#This Row],[Weight_reduction]]</f>
        <v>8512.2326397593388</v>
      </c>
    </row>
    <row r="36" spans="1:12" hidden="1" x14ac:dyDescent="0.35">
      <c r="A36" s="5">
        <v>45917</v>
      </c>
      <c r="B36" s="1">
        <v>3</v>
      </c>
      <c r="C36" s="1" t="s">
        <v>2</v>
      </c>
      <c r="D36" s="1">
        <v>3</v>
      </c>
      <c r="E36" s="1">
        <v>1</v>
      </c>
      <c r="F36" s="2">
        <v>896.96</v>
      </c>
      <c r="G36" s="1">
        <v>19.13</v>
      </c>
      <c r="H36" s="1">
        <v>44.64</v>
      </c>
      <c r="I36" s="1">
        <f>Tabla25[[#This Row],[Weight_g]]*10000/1000</f>
        <v>8969.6</v>
      </c>
      <c r="J36" s="4">
        <f>100*(Tabla25[[#This Row],[Humidity]]-14)/(100-Tabla25[[#This Row],[Humidity]])</f>
        <v>6.3435142821812764</v>
      </c>
      <c r="K36" s="2">
        <f>Tabla25[[#This Row],[Weight_kg/ha]]*Tabla25[[#This Row],[Weight_reduction_prop]]/100</f>
        <v>568.98785705453179</v>
      </c>
      <c r="L36" s="2">
        <f>Tabla25[[#This Row],[Weight_kg/ha]]-Tabla25[[#This Row],[Weight_reduction]]</f>
        <v>8400.6121429454688</v>
      </c>
    </row>
    <row r="37" spans="1:12" hidden="1" x14ac:dyDescent="0.35">
      <c r="A37" s="5">
        <v>45917</v>
      </c>
      <c r="B37" s="1">
        <v>3</v>
      </c>
      <c r="C37" s="1" t="s">
        <v>2</v>
      </c>
      <c r="D37" s="1">
        <v>4</v>
      </c>
      <c r="E37" s="1">
        <v>1</v>
      </c>
      <c r="F37" s="2">
        <v>980.91</v>
      </c>
      <c r="G37" s="1">
        <v>19.489999999999998</v>
      </c>
      <c r="H37" s="1">
        <v>45.88</v>
      </c>
      <c r="I37" s="1">
        <f>Tabla25[[#This Row],[Weight_g]]*10000/1000</f>
        <v>9809.1</v>
      </c>
      <c r="J37" s="4">
        <f>100*(Tabla25[[#This Row],[Humidity]]-14)/(100-Tabla25[[#This Row],[Humidity]])</f>
        <v>6.8190286920879375</v>
      </c>
      <c r="K37" s="2">
        <f>Tabla25[[#This Row],[Weight_kg/ha]]*Tabla25[[#This Row],[Weight_reduction_prop]]/100</f>
        <v>668.88534343559786</v>
      </c>
      <c r="L37" s="2">
        <f>Tabla25[[#This Row],[Weight_kg/ha]]-Tabla25[[#This Row],[Weight_reduction]]</f>
        <v>9140.2146565644034</v>
      </c>
    </row>
    <row r="38" spans="1:12" hidden="1" x14ac:dyDescent="0.35">
      <c r="A38" s="5">
        <v>45917</v>
      </c>
      <c r="B38" s="1">
        <v>3</v>
      </c>
      <c r="C38" s="1" t="s">
        <v>1</v>
      </c>
      <c r="D38" s="1">
        <v>1</v>
      </c>
      <c r="E38" s="1">
        <v>1</v>
      </c>
      <c r="F38" s="2">
        <v>822.48</v>
      </c>
      <c r="G38" s="1">
        <v>17.420000000000002</v>
      </c>
      <c r="H38" s="1">
        <v>43.94</v>
      </c>
      <c r="I38" s="1">
        <f>Tabla25[[#This Row],[Weight_g]]*10000/1000</f>
        <v>8224.7999999999993</v>
      </c>
      <c r="J38" s="4">
        <f>100*(Tabla25[[#This Row],[Humidity]]-14)/(100-Tabla25[[#This Row],[Humidity]])</f>
        <v>4.1414386049891032</v>
      </c>
      <c r="K38" s="2">
        <f>Tabla25[[#This Row],[Weight_kg/ha]]*Tabla25[[#This Row],[Weight_reduction_prop]]/100</f>
        <v>340.62504238314375</v>
      </c>
      <c r="L38" s="2">
        <f>Tabla25[[#This Row],[Weight_kg/ha]]-Tabla25[[#This Row],[Weight_reduction]]</f>
        <v>7884.1749576168559</v>
      </c>
    </row>
    <row r="39" spans="1:12" hidden="1" x14ac:dyDescent="0.35">
      <c r="A39" s="5">
        <v>45917</v>
      </c>
      <c r="B39" s="1">
        <v>3</v>
      </c>
      <c r="C39" s="1" t="s">
        <v>1</v>
      </c>
      <c r="D39" s="1">
        <v>2</v>
      </c>
      <c r="E39" s="1">
        <v>1</v>
      </c>
      <c r="F39" s="2">
        <v>943.41</v>
      </c>
      <c r="G39" s="1">
        <v>19.43</v>
      </c>
      <c r="H39" s="1">
        <v>47.36</v>
      </c>
      <c r="I39" s="1">
        <f>Tabla25[[#This Row],[Weight_g]]*10000/1000</f>
        <v>9434.1</v>
      </c>
      <c r="J39" s="4">
        <f>100*(Tabla25[[#This Row],[Humidity]]-14)/(100-Tabla25[[#This Row],[Humidity]])</f>
        <v>6.7394811964751158</v>
      </c>
      <c r="K39" s="2">
        <f>Tabla25[[#This Row],[Weight_kg/ha]]*Tabla25[[#This Row],[Weight_reduction_prop]]/100</f>
        <v>635.80939555665896</v>
      </c>
      <c r="L39" s="2">
        <f>Tabla25[[#This Row],[Weight_kg/ha]]-Tabla25[[#This Row],[Weight_reduction]]</f>
        <v>8798.2906044433421</v>
      </c>
    </row>
    <row r="40" spans="1:12" hidden="1" x14ac:dyDescent="0.35">
      <c r="A40" s="5">
        <v>45917</v>
      </c>
      <c r="B40" s="1">
        <v>3</v>
      </c>
      <c r="C40" s="1" t="s">
        <v>1</v>
      </c>
      <c r="D40" s="1">
        <v>3</v>
      </c>
      <c r="E40" s="1">
        <v>1</v>
      </c>
      <c r="F40" s="2">
        <v>909.44</v>
      </c>
      <c r="G40" s="1">
        <v>13.86</v>
      </c>
      <c r="H40" s="1">
        <v>45.65</v>
      </c>
      <c r="I40" s="1">
        <f>Tabla25[[#This Row],[Weight_g]]*10000/1000</f>
        <v>9094.4</v>
      </c>
      <c r="J40" s="4">
        <f>100*(Tabla25[[#This Row],[Humidity]]-14)/(100-Tabla25[[#This Row],[Humidity]])</f>
        <v>-0.16252612026932967</v>
      </c>
      <c r="K40" s="2">
        <f>Tabla25[[#This Row],[Weight_kg/ha]]*Tabla25[[#This Row],[Weight_reduction_prop]]/100</f>
        <v>-14.780775481773917</v>
      </c>
      <c r="L40" s="2">
        <f>Tabla25[[#This Row],[Weight_kg/ha]]-Tabla25[[#This Row],[Weight_reduction]]</f>
        <v>9109.1807754817728</v>
      </c>
    </row>
    <row r="41" spans="1:12" hidden="1" x14ac:dyDescent="0.35">
      <c r="A41" s="5">
        <v>45917</v>
      </c>
      <c r="B41" s="1">
        <v>3</v>
      </c>
      <c r="C41" s="1" t="s">
        <v>1</v>
      </c>
      <c r="D41" s="1">
        <v>4</v>
      </c>
      <c r="E41" s="1">
        <v>1</v>
      </c>
      <c r="F41" s="2">
        <v>999.77</v>
      </c>
      <c r="G41" s="1">
        <v>19.53</v>
      </c>
      <c r="H41" s="1">
        <v>48.64</v>
      </c>
      <c r="I41" s="1">
        <f>Tabla25[[#This Row],[Weight_g]]*10000/1000</f>
        <v>9997.7000000000007</v>
      </c>
      <c r="J41" s="4">
        <f>100*(Tabla25[[#This Row],[Humidity]]-14)/(100-Tabla25[[#This Row],[Humidity]])</f>
        <v>6.8721262582328837</v>
      </c>
      <c r="K41" s="2">
        <f>Tabla25[[#This Row],[Weight_kg/ha]]*Tabla25[[#This Row],[Weight_reduction_prop]]/100</f>
        <v>687.05456691934899</v>
      </c>
      <c r="L41" s="2">
        <f>Tabla25[[#This Row],[Weight_kg/ha]]-Tabla25[[#This Row],[Weight_reduction]]</f>
        <v>9310.6454330806519</v>
      </c>
    </row>
    <row r="42" spans="1:12" hidden="1" x14ac:dyDescent="0.35">
      <c r="A42" s="5">
        <v>45917</v>
      </c>
      <c r="B42" s="1">
        <v>3</v>
      </c>
      <c r="C42" s="1" t="s">
        <v>0</v>
      </c>
      <c r="D42" s="1">
        <v>1</v>
      </c>
      <c r="E42" s="1">
        <v>1</v>
      </c>
      <c r="F42" s="2">
        <v>959.02</v>
      </c>
      <c r="G42" s="1">
        <v>19.03</v>
      </c>
      <c r="H42" s="1">
        <v>46.06</v>
      </c>
      <c r="I42" s="1">
        <f>Tabla25[[#This Row],[Weight_g]]*10000/1000</f>
        <v>9590.2000000000007</v>
      </c>
      <c r="J42" s="4">
        <f>100*(Tabla25[[#This Row],[Humidity]]-14)/(100-Tabla25[[#This Row],[Humidity]])</f>
        <v>6.2121773496356694</v>
      </c>
      <c r="K42" s="2">
        <f>Tabla25[[#This Row],[Weight_kg/ha]]*Tabla25[[#This Row],[Weight_reduction_prop]]/100</f>
        <v>595.76023218476007</v>
      </c>
      <c r="L42" s="2">
        <f>Tabla25[[#This Row],[Weight_kg/ha]]-Tabla25[[#This Row],[Weight_reduction]]</f>
        <v>8994.43976781524</v>
      </c>
    </row>
    <row r="43" spans="1:12" hidden="1" x14ac:dyDescent="0.35">
      <c r="A43" s="5">
        <v>45917</v>
      </c>
      <c r="B43" s="1">
        <v>3</v>
      </c>
      <c r="C43" s="1" t="s">
        <v>0</v>
      </c>
      <c r="D43" s="1">
        <v>2</v>
      </c>
      <c r="E43" s="1">
        <v>1</v>
      </c>
      <c r="F43" s="2">
        <v>1038.1199999999999</v>
      </c>
      <c r="G43" s="1">
        <v>20.45</v>
      </c>
      <c r="H43" s="1">
        <v>45.61</v>
      </c>
      <c r="I43" s="1">
        <f>Tabla25[[#This Row],[Weight_g]]*10000/1000</f>
        <v>10381.199999999999</v>
      </c>
      <c r="J43" s="4">
        <f>100*(Tabla25[[#This Row],[Humidity]]-14)/(100-Tabla25[[#This Row],[Humidity]])</f>
        <v>8.108108108108107</v>
      </c>
      <c r="K43" s="2">
        <f>Tabla25[[#This Row],[Weight_kg/ha]]*Tabla25[[#This Row],[Weight_reduction_prop]]/100</f>
        <v>841.71891891891869</v>
      </c>
      <c r="L43" s="2">
        <f>Tabla25[[#This Row],[Weight_kg/ha]]-Tabla25[[#This Row],[Weight_reduction]]</f>
        <v>9539.4810810810795</v>
      </c>
    </row>
    <row r="44" spans="1:12" hidden="1" x14ac:dyDescent="0.35">
      <c r="A44" s="5">
        <v>45917</v>
      </c>
      <c r="B44" s="1">
        <v>3</v>
      </c>
      <c r="C44" s="1" t="s">
        <v>0</v>
      </c>
      <c r="D44" s="1">
        <v>3</v>
      </c>
      <c r="E44" s="1">
        <v>1</v>
      </c>
      <c r="F44" s="2">
        <v>974.86</v>
      </c>
      <c r="G44" s="1">
        <v>18.829999999999998</v>
      </c>
      <c r="H44" s="1">
        <v>46.34</v>
      </c>
      <c r="I44" s="1">
        <f>Tabla25[[#This Row],[Weight_g]]*10000/1000</f>
        <v>9748.6</v>
      </c>
      <c r="J44" s="4">
        <f>100*(Tabla25[[#This Row],[Humidity]]-14)/(100-Tabla25[[#This Row],[Humidity]])</f>
        <v>5.9504743131698881</v>
      </c>
      <c r="K44" s="2">
        <f>Tabla25[[#This Row],[Weight_kg/ha]]*Tabla25[[#This Row],[Weight_reduction_prop]]/100</f>
        <v>580.08793889367973</v>
      </c>
      <c r="L44" s="2">
        <f>Tabla25[[#This Row],[Weight_kg/ha]]-Tabla25[[#This Row],[Weight_reduction]]</f>
        <v>9168.5120611063212</v>
      </c>
    </row>
    <row r="45" spans="1:12" hidden="1" x14ac:dyDescent="0.35">
      <c r="A45" s="5">
        <v>45917</v>
      </c>
      <c r="B45" s="1">
        <v>3</v>
      </c>
      <c r="C45" s="1" t="s">
        <v>0</v>
      </c>
      <c r="D45" s="1">
        <v>4</v>
      </c>
      <c r="E45" s="1">
        <v>1</v>
      </c>
      <c r="F45" s="2">
        <v>868.91</v>
      </c>
      <c r="G45" s="1">
        <v>17.37</v>
      </c>
      <c r="H45" s="1">
        <v>45.25</v>
      </c>
      <c r="I45" s="1">
        <f>Tabla25[[#This Row],[Weight_g]]*10000/1000</f>
        <v>8689.1</v>
      </c>
      <c r="J45" s="4">
        <f>100*(Tabla25[[#This Row],[Humidity]]-14)/(100-Tabla25[[#This Row],[Humidity]])</f>
        <v>4.0784218806728809</v>
      </c>
      <c r="K45" s="2">
        <f>Tabla25[[#This Row],[Weight_kg/ha]]*Tabla25[[#This Row],[Weight_reduction_prop]]/100</f>
        <v>354.37815563354729</v>
      </c>
      <c r="L45" s="2">
        <f>Tabla25[[#This Row],[Weight_kg/ha]]-Tabla25[[#This Row],[Weight_reduction]]</f>
        <v>8334.7218443664533</v>
      </c>
    </row>
    <row r="46" spans="1:12" hidden="1" x14ac:dyDescent="0.35">
      <c r="A46" s="5">
        <v>45917</v>
      </c>
      <c r="B46" s="1">
        <v>3</v>
      </c>
      <c r="C46" s="1" t="s">
        <v>3</v>
      </c>
      <c r="D46" s="1">
        <v>1</v>
      </c>
      <c r="E46" s="1">
        <v>1</v>
      </c>
      <c r="F46" s="2">
        <v>763.32</v>
      </c>
      <c r="G46" s="1">
        <v>17.41</v>
      </c>
      <c r="H46" s="1">
        <v>44.65</v>
      </c>
      <c r="I46" s="1">
        <f>Tabla25[[#This Row],[Weight_g]]*10000/1000</f>
        <v>7633.2000000000007</v>
      </c>
      <c r="J46" s="4">
        <f>100*(Tabla25[[#This Row],[Humidity]]-14)/(100-Tabla25[[#This Row],[Humidity]])</f>
        <v>4.1288291560721637</v>
      </c>
      <c r="K46" s="2">
        <f>Tabla25[[#This Row],[Weight_kg/ha]]*Tabla25[[#This Row],[Weight_reduction_prop]]/100</f>
        <v>315.16178714130047</v>
      </c>
      <c r="L46" s="2">
        <f>Tabla25[[#This Row],[Weight_kg/ha]]-Tabla25[[#This Row],[Weight_reduction]]</f>
        <v>7318.0382128587007</v>
      </c>
    </row>
    <row r="47" spans="1:12" hidden="1" x14ac:dyDescent="0.35">
      <c r="A47" s="5">
        <v>45917</v>
      </c>
      <c r="B47" s="1">
        <v>3</v>
      </c>
      <c r="C47" s="1" t="s">
        <v>3</v>
      </c>
      <c r="D47" s="1">
        <v>2</v>
      </c>
      <c r="E47" s="1">
        <v>1</v>
      </c>
      <c r="F47" s="2">
        <v>829.95</v>
      </c>
      <c r="G47" s="1">
        <v>12.41</v>
      </c>
      <c r="H47" s="1">
        <v>45.93</v>
      </c>
      <c r="I47" s="1">
        <f>Tabla25[[#This Row],[Weight_g]]*10000/1000</f>
        <v>8299.5</v>
      </c>
      <c r="J47" s="4">
        <f>100*(Tabla25[[#This Row],[Humidity]]-14)/(100-Tabla25[[#This Row],[Humidity]])</f>
        <v>-1.8152757164059823</v>
      </c>
      <c r="K47" s="2">
        <f>Tabla25[[#This Row],[Weight_kg/ha]]*Tabla25[[#This Row],[Weight_reduction_prop]]/100</f>
        <v>-150.65880808311451</v>
      </c>
      <c r="L47" s="2">
        <f>Tabla25[[#This Row],[Weight_kg/ha]]-Tabla25[[#This Row],[Weight_reduction]]</f>
        <v>8450.1588080831152</v>
      </c>
    </row>
    <row r="48" spans="1:12" hidden="1" x14ac:dyDescent="0.35">
      <c r="A48" s="5">
        <v>45917</v>
      </c>
      <c r="B48" s="1">
        <v>3</v>
      </c>
      <c r="C48" s="1" t="s">
        <v>3</v>
      </c>
      <c r="D48" s="1">
        <v>3</v>
      </c>
      <c r="E48" s="1">
        <v>1</v>
      </c>
      <c r="F48" s="2">
        <v>1035.8699999999999</v>
      </c>
      <c r="G48" s="1">
        <v>15.76</v>
      </c>
      <c r="H48" s="1">
        <v>47.03</v>
      </c>
      <c r="I48" s="1">
        <f>Tabla25[[#This Row],[Weight_g]]*10000/1000</f>
        <v>10358.699999999999</v>
      </c>
      <c r="J48" s="4">
        <f>100*(Tabla25[[#This Row],[Humidity]]-14)/(100-Tabla25[[#This Row],[Humidity]])</f>
        <v>2.0892687559354224</v>
      </c>
      <c r="K48" s="2">
        <f>Tabla25[[#This Row],[Weight_kg/ha]]*Tabla25[[#This Row],[Weight_reduction_prop]]/100</f>
        <v>216.42108262108258</v>
      </c>
      <c r="L48" s="2">
        <f>Tabla25[[#This Row],[Weight_kg/ha]]-Tabla25[[#This Row],[Weight_reduction]]</f>
        <v>10142.278917378917</v>
      </c>
    </row>
    <row r="49" spans="1:12" hidden="1" x14ac:dyDescent="0.35">
      <c r="A49" s="5">
        <v>45917</v>
      </c>
      <c r="B49" s="1">
        <v>3</v>
      </c>
      <c r="C49" s="1" t="s">
        <v>3</v>
      </c>
      <c r="D49" s="1">
        <v>4</v>
      </c>
      <c r="E49" s="1">
        <v>1</v>
      </c>
      <c r="F49" s="2">
        <v>1009.34</v>
      </c>
      <c r="G49" s="1">
        <v>20.27</v>
      </c>
      <c r="H49" s="1">
        <v>49.5</v>
      </c>
      <c r="I49" s="1">
        <f>Tabla25[[#This Row],[Weight_g]]*10000/1000</f>
        <v>10093.4</v>
      </c>
      <c r="J49" s="4">
        <f>100*(Tabla25[[#This Row],[Humidity]]-14)/(100-Tabla25[[#This Row],[Humidity]])</f>
        <v>7.8640411388435965</v>
      </c>
      <c r="K49" s="2">
        <f>Tabla25[[#This Row],[Weight_kg/ha]]*Tabla25[[#This Row],[Weight_reduction_prop]]/100</f>
        <v>793.74912830803953</v>
      </c>
      <c r="L49" s="2">
        <f>Tabla25[[#This Row],[Weight_kg/ha]]-Tabla25[[#This Row],[Weight_reduction]]</f>
        <v>9299.6508716919598</v>
      </c>
    </row>
    <row r="50" spans="1:12" x14ac:dyDescent="0.35">
      <c r="A50" s="5">
        <v>45919</v>
      </c>
      <c r="B50" s="1">
        <v>4</v>
      </c>
      <c r="C50" s="1" t="s">
        <v>3</v>
      </c>
      <c r="D50" s="1">
        <v>1</v>
      </c>
      <c r="E50" s="1">
        <v>1</v>
      </c>
      <c r="F50" s="2">
        <v>793.5</v>
      </c>
      <c r="G50" s="1">
        <v>11.3</v>
      </c>
      <c r="H50" s="1">
        <v>43.81</v>
      </c>
      <c r="I50" s="1">
        <f>Tabla25[[#This Row],[Weight_g]]*10000/1000</f>
        <v>7935</v>
      </c>
      <c r="J50" s="4">
        <f>100*(Tabla25[[#This Row],[Humidity]]-14)/(100-Tabla25[[#This Row],[Humidity]])</f>
        <v>-3.0439684329199541</v>
      </c>
      <c r="K50" s="2">
        <f>Tabla25[[#This Row],[Weight_kg/ha]]*Tabla25[[#This Row],[Weight_reduction_prop]]/100</f>
        <v>-241.53889515219834</v>
      </c>
      <c r="L50" s="2">
        <f>Tabla25[[#This Row],[Weight_kg/ha]]-Tabla25[[#This Row],[Weight_reduction]]</f>
        <v>8176.5388951521982</v>
      </c>
    </row>
    <row r="51" spans="1:12" x14ac:dyDescent="0.35">
      <c r="A51" s="5">
        <v>45919</v>
      </c>
      <c r="B51" s="1">
        <v>4</v>
      </c>
      <c r="C51" s="1" t="s">
        <v>3</v>
      </c>
      <c r="D51" s="1">
        <v>2</v>
      </c>
      <c r="E51" s="1">
        <v>1</v>
      </c>
      <c r="F51" s="2">
        <v>751.5</v>
      </c>
      <c r="G51" s="1">
        <v>12.31</v>
      </c>
      <c r="H51" s="1">
        <v>44.49</v>
      </c>
      <c r="I51" s="1">
        <f>Tabla25[[#This Row],[Weight_g]]*10000/1000</f>
        <v>7515</v>
      </c>
      <c r="J51" s="4">
        <f>100*(Tabla25[[#This Row],[Humidity]]-14)/(100-Tabla25[[#This Row],[Humidity]])</f>
        <v>-1.9272436993955975</v>
      </c>
      <c r="K51" s="2">
        <f>Tabla25[[#This Row],[Weight_kg/ha]]*Tabla25[[#This Row],[Weight_reduction_prop]]/100</f>
        <v>-144.83236400957915</v>
      </c>
      <c r="L51" s="2">
        <f>Tabla25[[#This Row],[Weight_kg/ha]]-Tabla25[[#This Row],[Weight_reduction]]</f>
        <v>7659.8323640095796</v>
      </c>
    </row>
    <row r="52" spans="1:12" x14ac:dyDescent="0.35">
      <c r="A52" s="5">
        <v>45919</v>
      </c>
      <c r="B52" s="1">
        <v>4</v>
      </c>
      <c r="C52" s="1" t="s">
        <v>3</v>
      </c>
      <c r="D52" s="1">
        <v>3</v>
      </c>
      <c r="E52" s="1">
        <v>1</v>
      </c>
      <c r="F52" s="2">
        <v>802</v>
      </c>
      <c r="G52" s="1">
        <v>14.79</v>
      </c>
      <c r="H52" s="1">
        <v>43.8</v>
      </c>
      <c r="I52" s="1">
        <f>Tabla25[[#This Row],[Weight_g]]*10000/1000</f>
        <v>8020</v>
      </c>
      <c r="J52" s="4">
        <f>100*(Tabla25[[#This Row],[Humidity]]-14)/(100-Tabla25[[#This Row],[Humidity]])</f>
        <v>0.92712122990259249</v>
      </c>
      <c r="K52" s="2">
        <f>Tabla25[[#This Row],[Weight_kg/ha]]*Tabla25[[#This Row],[Weight_reduction_prop]]/100</f>
        <v>74.355122638187922</v>
      </c>
      <c r="L52" s="2">
        <f>Tabla25[[#This Row],[Weight_kg/ha]]-Tabla25[[#This Row],[Weight_reduction]]</f>
        <v>7945.6448773618122</v>
      </c>
    </row>
    <row r="53" spans="1:12" x14ac:dyDescent="0.35">
      <c r="A53" s="5">
        <v>45919</v>
      </c>
      <c r="B53" s="1">
        <v>4</v>
      </c>
      <c r="C53" s="1" t="s">
        <v>3</v>
      </c>
      <c r="D53" s="1">
        <v>4</v>
      </c>
      <c r="E53" s="1">
        <v>1</v>
      </c>
      <c r="F53" s="2">
        <v>863.8</v>
      </c>
      <c r="G53" s="1">
        <v>13.87</v>
      </c>
      <c r="H53" s="1">
        <v>44.19</v>
      </c>
      <c r="I53" s="1">
        <f>Tabla25[[#This Row],[Weight_g]]*10000/1000</f>
        <v>8638</v>
      </c>
      <c r="J53" s="4">
        <f>100*(Tabla25[[#This Row],[Humidity]]-14)/(100-Tabla25[[#This Row],[Humidity]])</f>
        <v>-0.1509346336932553</v>
      </c>
      <c r="K53" s="2">
        <f>Tabla25[[#This Row],[Weight_kg/ha]]*Tabla25[[#This Row],[Weight_reduction_prop]]/100</f>
        <v>-13.037733658423392</v>
      </c>
      <c r="L53" s="2">
        <f>Tabla25[[#This Row],[Weight_kg/ha]]-Tabla25[[#This Row],[Weight_reduction]]</f>
        <v>8651.0377336584243</v>
      </c>
    </row>
    <row r="54" spans="1:12" hidden="1" x14ac:dyDescent="0.35">
      <c r="A54" s="5">
        <v>45919</v>
      </c>
      <c r="B54" s="1">
        <v>4</v>
      </c>
      <c r="C54" s="1" t="s">
        <v>2</v>
      </c>
      <c r="D54" s="1">
        <v>1</v>
      </c>
      <c r="E54" s="1">
        <v>1</v>
      </c>
      <c r="F54" s="2">
        <v>677.9</v>
      </c>
      <c r="G54" s="1">
        <v>14.2</v>
      </c>
      <c r="H54" s="1">
        <v>44.69</v>
      </c>
      <c r="I54" s="1">
        <f>Tabla25[[#This Row],[Weight_g]]*10000/1000</f>
        <v>6779</v>
      </c>
      <c r="J54" s="4">
        <f>100*(Tabla25[[#This Row],[Humidity]]-14)/(100-Tabla25[[#This Row],[Humidity]])</f>
        <v>0.23310023310023228</v>
      </c>
      <c r="K54" s="2">
        <f>Tabla25[[#This Row],[Weight_kg/ha]]*Tabla25[[#This Row],[Weight_reduction_prop]]/100</f>
        <v>15.801864801864747</v>
      </c>
      <c r="L54" s="2">
        <f>Tabla25[[#This Row],[Weight_kg/ha]]-Tabla25[[#This Row],[Weight_reduction]]</f>
        <v>6763.1981351981349</v>
      </c>
    </row>
    <row r="55" spans="1:12" hidden="1" x14ac:dyDescent="0.35">
      <c r="A55" s="5">
        <v>45919</v>
      </c>
      <c r="B55" s="1">
        <v>4</v>
      </c>
      <c r="C55" s="1" t="s">
        <v>2</v>
      </c>
      <c r="D55" s="1">
        <v>2</v>
      </c>
      <c r="E55" s="1">
        <v>1</v>
      </c>
      <c r="F55" s="2">
        <v>835.7</v>
      </c>
      <c r="G55" s="1">
        <v>13.49</v>
      </c>
      <c r="H55" s="1">
        <v>43.71</v>
      </c>
      <c r="I55" s="1">
        <f>Tabla25[[#This Row],[Weight_g]]*10000/1000</f>
        <v>8357</v>
      </c>
      <c r="J55" s="4">
        <f>100*(Tabla25[[#This Row],[Humidity]]-14)/(100-Tabla25[[#This Row],[Humidity]])</f>
        <v>-0.58952722228644061</v>
      </c>
      <c r="K55" s="2">
        <f>Tabla25[[#This Row],[Weight_kg/ha]]*Tabla25[[#This Row],[Weight_reduction_prop]]/100</f>
        <v>-49.266789966477845</v>
      </c>
      <c r="L55" s="2">
        <f>Tabla25[[#This Row],[Weight_kg/ha]]-Tabla25[[#This Row],[Weight_reduction]]</f>
        <v>8406.2667899664775</v>
      </c>
    </row>
    <row r="56" spans="1:12" hidden="1" x14ac:dyDescent="0.35">
      <c r="A56" s="5">
        <v>45919</v>
      </c>
      <c r="B56" s="1">
        <v>4</v>
      </c>
      <c r="C56" s="1" t="s">
        <v>2</v>
      </c>
      <c r="D56" s="1">
        <v>3</v>
      </c>
      <c r="E56" s="1">
        <v>1</v>
      </c>
      <c r="F56" s="2">
        <v>758</v>
      </c>
      <c r="G56" s="1">
        <v>13.13</v>
      </c>
      <c r="H56" s="1">
        <v>44.1</v>
      </c>
      <c r="I56" s="1">
        <f>Tabla25[[#This Row],[Weight_g]]*10000/1000</f>
        <v>7580</v>
      </c>
      <c r="J56" s="4">
        <f>100*(Tabla25[[#This Row],[Humidity]]-14)/(100-Tabla25[[#This Row],[Humidity]])</f>
        <v>-1.0014964890065605</v>
      </c>
      <c r="K56" s="2">
        <f>Tabla25[[#This Row],[Weight_kg/ha]]*Tabla25[[#This Row],[Weight_reduction_prop]]/100</f>
        <v>-75.913433866697289</v>
      </c>
      <c r="L56" s="2">
        <f>Tabla25[[#This Row],[Weight_kg/ha]]-Tabla25[[#This Row],[Weight_reduction]]</f>
        <v>7655.9134338666972</v>
      </c>
    </row>
    <row r="57" spans="1:12" hidden="1" x14ac:dyDescent="0.35">
      <c r="A57" s="5">
        <v>45919</v>
      </c>
      <c r="B57" s="1">
        <v>4</v>
      </c>
      <c r="C57" s="1" t="s">
        <v>2</v>
      </c>
      <c r="D57" s="1">
        <v>4</v>
      </c>
      <c r="E57" s="1">
        <v>1</v>
      </c>
      <c r="F57" s="2">
        <v>808.4</v>
      </c>
      <c r="G57" s="1">
        <v>10.55</v>
      </c>
      <c r="H57" s="1">
        <v>43.82</v>
      </c>
      <c r="I57" s="1">
        <f>Tabla25[[#This Row],[Weight_g]]*10000/1000</f>
        <v>8084</v>
      </c>
      <c r="J57" s="4">
        <f>100*(Tabla25[[#This Row],[Humidity]]-14)/(100-Tabla25[[#This Row],[Humidity]])</f>
        <v>-3.8569032979318045</v>
      </c>
      <c r="K57" s="2">
        <f>Tabla25[[#This Row],[Weight_kg/ha]]*Tabla25[[#This Row],[Weight_reduction_prop]]/100</f>
        <v>-311.79206260480709</v>
      </c>
      <c r="L57" s="2">
        <f>Tabla25[[#This Row],[Weight_kg/ha]]-Tabla25[[#This Row],[Weight_reduction]]</f>
        <v>8395.7920626048071</v>
      </c>
    </row>
    <row r="58" spans="1:12" x14ac:dyDescent="0.35">
      <c r="A58" s="5">
        <v>45919</v>
      </c>
      <c r="B58" s="1">
        <v>4</v>
      </c>
      <c r="C58" s="1" t="s">
        <v>1</v>
      </c>
      <c r="D58" s="1">
        <v>1</v>
      </c>
      <c r="E58" s="1">
        <v>1</v>
      </c>
      <c r="F58" s="2">
        <v>721.45</v>
      </c>
      <c r="G58" s="1">
        <v>12.32</v>
      </c>
      <c r="H58" s="1">
        <v>44.46</v>
      </c>
      <c r="I58" s="1">
        <f>Tabla25[[#This Row],[Weight_g]]*10000/1000</f>
        <v>7214.5</v>
      </c>
      <c r="J58" s="4">
        <f>100*(Tabla25[[#This Row],[Humidity]]-14)/(100-Tabla25[[#This Row],[Humidity]])</f>
        <v>-1.9160583941605835</v>
      </c>
      <c r="K58" s="2">
        <f>Tabla25[[#This Row],[Weight_kg/ha]]*Tabla25[[#This Row],[Weight_reduction_prop]]/100</f>
        <v>-138.23403284671531</v>
      </c>
      <c r="L58" s="2">
        <f>Tabla25[[#This Row],[Weight_kg/ha]]-Tabla25[[#This Row],[Weight_reduction]]</f>
        <v>7352.7340328467153</v>
      </c>
    </row>
    <row r="59" spans="1:12" x14ac:dyDescent="0.35">
      <c r="A59" s="5">
        <v>45919</v>
      </c>
      <c r="B59" s="1">
        <v>4</v>
      </c>
      <c r="C59" s="1" t="s">
        <v>1</v>
      </c>
      <c r="D59" s="1">
        <v>2</v>
      </c>
      <c r="E59" s="1">
        <v>1</v>
      </c>
      <c r="F59" s="2">
        <v>668.4</v>
      </c>
      <c r="G59" s="1">
        <v>13.01</v>
      </c>
      <c r="H59" s="1">
        <v>44.31</v>
      </c>
      <c r="I59" s="1">
        <f>Tabla25[[#This Row],[Weight_g]]*10000/1000</f>
        <v>6684</v>
      </c>
      <c r="J59" s="4">
        <f>100*(Tabla25[[#This Row],[Humidity]]-14)/(100-Tabla25[[#This Row],[Humidity]])</f>
        <v>-1.1380618461892176</v>
      </c>
      <c r="K59" s="2">
        <f>Tabla25[[#This Row],[Weight_kg/ha]]*Tabla25[[#This Row],[Weight_reduction_prop]]/100</f>
        <v>-76.068053799287298</v>
      </c>
      <c r="L59" s="2">
        <f>Tabla25[[#This Row],[Weight_kg/ha]]-Tabla25[[#This Row],[Weight_reduction]]</f>
        <v>6760.0680537992876</v>
      </c>
    </row>
    <row r="60" spans="1:12" x14ac:dyDescent="0.35">
      <c r="A60" s="5">
        <v>45919</v>
      </c>
      <c r="B60" s="1">
        <v>4</v>
      </c>
      <c r="C60" s="1" t="s">
        <v>1</v>
      </c>
      <c r="D60" s="1">
        <v>3</v>
      </c>
      <c r="E60" s="1">
        <v>1</v>
      </c>
      <c r="F60" s="2">
        <v>644.80999999999995</v>
      </c>
      <c r="G60" s="1">
        <v>12.35</v>
      </c>
      <c r="H60" s="1">
        <v>43.5</v>
      </c>
      <c r="I60" s="1">
        <f>Tabla25[[#This Row],[Weight_g]]*10000/1000</f>
        <v>6448.0999999999995</v>
      </c>
      <c r="J60" s="4">
        <f>100*(Tabla25[[#This Row],[Humidity]]-14)/(100-Tabla25[[#This Row],[Humidity]])</f>
        <v>-1.8824871648602397</v>
      </c>
      <c r="K60" s="2">
        <f>Tabla25[[#This Row],[Weight_kg/ha]]*Tabla25[[#This Row],[Weight_reduction_prop]]/100</f>
        <v>-121.38465487735311</v>
      </c>
      <c r="L60" s="2">
        <f>Tabla25[[#This Row],[Weight_kg/ha]]-Tabla25[[#This Row],[Weight_reduction]]</f>
        <v>6569.484654877353</v>
      </c>
    </row>
    <row r="61" spans="1:12" x14ac:dyDescent="0.35">
      <c r="A61" s="5">
        <v>45919</v>
      </c>
      <c r="B61" s="1">
        <v>4</v>
      </c>
      <c r="C61" s="1" t="s">
        <v>1</v>
      </c>
      <c r="D61" s="1">
        <v>4</v>
      </c>
      <c r="E61" s="1">
        <v>1</v>
      </c>
      <c r="F61" s="2">
        <v>688.6</v>
      </c>
      <c r="G61" s="1">
        <v>10.87</v>
      </c>
      <c r="H61" s="1">
        <v>43.89</v>
      </c>
      <c r="I61" s="1">
        <f>Tabla25[[#This Row],[Weight_g]]*10000/1000</f>
        <v>6886</v>
      </c>
      <c r="J61" s="4">
        <f>100*(Tabla25[[#This Row],[Humidity]]-14)/(100-Tabla25[[#This Row],[Humidity]])</f>
        <v>-3.5117244474363298</v>
      </c>
      <c r="K61" s="2">
        <f>Tabla25[[#This Row],[Weight_kg/ha]]*Tabla25[[#This Row],[Weight_reduction_prop]]/100</f>
        <v>-241.81734545046567</v>
      </c>
      <c r="L61" s="2">
        <f>Tabla25[[#This Row],[Weight_kg/ha]]-Tabla25[[#This Row],[Weight_reduction]]</f>
        <v>7127.8173454504658</v>
      </c>
    </row>
    <row r="62" spans="1:12" hidden="1" x14ac:dyDescent="0.35">
      <c r="A62" s="5">
        <v>45919</v>
      </c>
      <c r="B62" s="1">
        <v>4</v>
      </c>
      <c r="C62" s="1" t="s">
        <v>0</v>
      </c>
      <c r="D62" s="1">
        <v>1</v>
      </c>
      <c r="E62" s="1">
        <v>1</v>
      </c>
      <c r="F62" s="2">
        <v>777.45</v>
      </c>
      <c r="G62" s="1">
        <v>13.23</v>
      </c>
      <c r="H62" s="1">
        <v>43.94</v>
      </c>
      <c r="I62" s="1">
        <f>Tabla25[[#This Row],[Weight_g]]*10000/1000</f>
        <v>7774.5</v>
      </c>
      <c r="J62" s="4">
        <f>100*(Tabla25[[#This Row],[Humidity]]-14)/(100-Tabla25[[#This Row],[Humidity]])</f>
        <v>-0.88740348046559825</v>
      </c>
      <c r="K62" s="2">
        <f>Tabla25[[#This Row],[Weight_kg/ha]]*Tabla25[[#This Row],[Weight_reduction_prop]]/100</f>
        <v>-68.991183588797938</v>
      </c>
      <c r="L62" s="2">
        <f>Tabla25[[#This Row],[Weight_kg/ha]]-Tabla25[[#This Row],[Weight_reduction]]</f>
        <v>7843.4911835887979</v>
      </c>
    </row>
    <row r="63" spans="1:12" hidden="1" x14ac:dyDescent="0.35">
      <c r="A63" s="5">
        <v>45919</v>
      </c>
      <c r="B63" s="1">
        <v>4</v>
      </c>
      <c r="C63" s="1" t="s">
        <v>0</v>
      </c>
      <c r="D63" s="1">
        <v>2</v>
      </c>
      <c r="E63" s="1">
        <v>1</v>
      </c>
      <c r="F63" s="2">
        <v>858</v>
      </c>
      <c r="G63" s="1">
        <v>14.66</v>
      </c>
      <c r="H63" s="1">
        <v>43.18</v>
      </c>
      <c r="I63" s="1">
        <f>Tabla25[[#This Row],[Weight_g]]*10000/1000</f>
        <v>8580</v>
      </c>
      <c r="J63" s="4">
        <f>100*(Tabla25[[#This Row],[Humidity]]-14)/(100-Tabla25[[#This Row],[Humidity]])</f>
        <v>0.77337707991563176</v>
      </c>
      <c r="K63" s="2">
        <f>Tabla25[[#This Row],[Weight_kg/ha]]*Tabla25[[#This Row],[Weight_reduction_prop]]/100</f>
        <v>66.355753456761207</v>
      </c>
      <c r="L63" s="2">
        <f>Tabla25[[#This Row],[Weight_kg/ha]]-Tabla25[[#This Row],[Weight_reduction]]</f>
        <v>8513.6442465432392</v>
      </c>
    </row>
    <row r="64" spans="1:12" hidden="1" x14ac:dyDescent="0.35">
      <c r="A64" s="5">
        <v>45919</v>
      </c>
      <c r="B64" s="1">
        <v>4</v>
      </c>
      <c r="C64" s="1" t="s">
        <v>0</v>
      </c>
      <c r="D64" s="1">
        <v>3</v>
      </c>
      <c r="E64" s="1">
        <v>1</v>
      </c>
      <c r="F64" s="2">
        <v>602.29999999999995</v>
      </c>
      <c r="G64" s="1">
        <v>11.78</v>
      </c>
      <c r="H64" s="1">
        <v>44.45</v>
      </c>
      <c r="I64" s="1">
        <f>Tabla25[[#This Row],[Weight_g]]*10000/1000</f>
        <v>6023</v>
      </c>
      <c r="J64" s="4">
        <f>100*(Tabla25[[#This Row],[Humidity]]-14)/(100-Tabla25[[#This Row],[Humidity]])</f>
        <v>-2.5164361822715944</v>
      </c>
      <c r="K64" s="2">
        <f>Tabla25[[#This Row],[Weight_kg/ha]]*Tabla25[[#This Row],[Weight_reduction_prop]]/100</f>
        <v>-151.56495125821814</v>
      </c>
      <c r="L64" s="2">
        <f>Tabla25[[#This Row],[Weight_kg/ha]]-Tabla25[[#This Row],[Weight_reduction]]</f>
        <v>6174.5649512582186</v>
      </c>
    </row>
    <row r="65" spans="1:12" hidden="1" x14ac:dyDescent="0.35">
      <c r="A65" s="5">
        <v>45919</v>
      </c>
      <c r="B65" s="1">
        <v>4</v>
      </c>
      <c r="C65" s="1" t="s">
        <v>0</v>
      </c>
      <c r="D65" s="1">
        <v>4</v>
      </c>
      <c r="E65" s="1">
        <v>1</v>
      </c>
      <c r="F65" s="2">
        <v>732.38</v>
      </c>
      <c r="G65" s="1">
        <v>10.28</v>
      </c>
      <c r="H65" s="1">
        <v>44.28</v>
      </c>
      <c r="I65" s="1">
        <f>Tabla25[[#This Row],[Weight_g]]*10000/1000</f>
        <v>7323.8</v>
      </c>
      <c r="J65" s="4">
        <f>100*(Tabla25[[#This Row],[Humidity]]-14)/(100-Tabla25[[#This Row],[Humidity]])</f>
        <v>-4.146232724030317</v>
      </c>
      <c r="K65" s="2">
        <f>Tabla25[[#This Row],[Weight_kg/ha]]*Tabla25[[#This Row],[Weight_reduction_prop]]/100</f>
        <v>-303.66179224253233</v>
      </c>
      <c r="L65" s="2">
        <f>Tabla25[[#This Row],[Weight_kg/ha]]-Tabla25[[#This Row],[Weight_reduction]]</f>
        <v>7627.4617922425323</v>
      </c>
    </row>
    <row r="66" spans="1:12" x14ac:dyDescent="0.35">
      <c r="A66" s="5">
        <v>45919</v>
      </c>
      <c r="B66" s="1">
        <v>5</v>
      </c>
      <c r="C66" s="1" t="s">
        <v>1</v>
      </c>
      <c r="D66" s="1">
        <v>1</v>
      </c>
      <c r="E66" s="1">
        <v>1</v>
      </c>
      <c r="F66" s="2">
        <v>918.5</v>
      </c>
      <c r="G66" s="1">
        <v>10.54</v>
      </c>
      <c r="H66" s="1">
        <v>45.01</v>
      </c>
      <c r="I66" s="1">
        <f>Tabla25[[#This Row],[Weight_g]]*10000/1000</f>
        <v>9185</v>
      </c>
      <c r="J66" s="4">
        <f>100*(Tabla25[[#This Row],[Humidity]]-14)/(100-Tabla25[[#This Row],[Humidity]])</f>
        <v>-3.867650346523587</v>
      </c>
      <c r="K66" s="2">
        <f>Tabla25[[#This Row],[Weight_kg/ha]]*Tabla25[[#This Row],[Weight_reduction_prop]]/100</f>
        <v>-355.24368432819142</v>
      </c>
      <c r="L66" s="2">
        <f>Tabla25[[#This Row],[Weight_kg/ha]]-Tabla25[[#This Row],[Weight_reduction]]</f>
        <v>9540.2436843281921</v>
      </c>
    </row>
    <row r="67" spans="1:12" x14ac:dyDescent="0.35">
      <c r="A67" s="5">
        <v>45919</v>
      </c>
      <c r="B67" s="1">
        <v>5</v>
      </c>
      <c r="C67" s="1" t="s">
        <v>1</v>
      </c>
      <c r="D67" s="1">
        <v>2</v>
      </c>
      <c r="E67" s="1">
        <v>1</v>
      </c>
      <c r="F67" s="2">
        <v>1001.5</v>
      </c>
      <c r="G67" s="1">
        <v>15.68</v>
      </c>
      <c r="H67" s="1">
        <v>44.26</v>
      </c>
      <c r="I67" s="1">
        <f>Tabla25[[#This Row],[Weight_g]]*10000/1000</f>
        <v>10015</v>
      </c>
      <c r="J67" s="4">
        <f>100*(Tabla25[[#This Row],[Humidity]]-14)/(100-Tabla25[[#This Row],[Humidity]])</f>
        <v>1.9924098671726753</v>
      </c>
      <c r="K67" s="2">
        <f>Tabla25[[#This Row],[Weight_kg/ha]]*Tabla25[[#This Row],[Weight_reduction_prop]]/100</f>
        <v>199.53984819734342</v>
      </c>
      <c r="L67" s="2">
        <f>Tabla25[[#This Row],[Weight_kg/ha]]-Tabla25[[#This Row],[Weight_reduction]]</f>
        <v>9815.4601518026575</v>
      </c>
    </row>
    <row r="68" spans="1:12" x14ac:dyDescent="0.35">
      <c r="A68" s="5">
        <v>45919</v>
      </c>
      <c r="B68" s="1">
        <v>5</v>
      </c>
      <c r="C68" s="1" t="s">
        <v>1</v>
      </c>
      <c r="D68" s="1">
        <v>3</v>
      </c>
      <c r="E68" s="1">
        <v>1</v>
      </c>
      <c r="F68" s="2">
        <v>766.5</v>
      </c>
      <c r="G68" s="1">
        <v>12.76</v>
      </c>
      <c r="H68" s="1">
        <v>45.38</v>
      </c>
      <c r="I68" s="1">
        <f>Tabla25[[#This Row],[Weight_g]]*10000/1000</f>
        <v>7665</v>
      </c>
      <c r="J68" s="4">
        <f>100*(Tabla25[[#This Row],[Humidity]]-14)/(100-Tabla25[[#This Row],[Humidity]])</f>
        <v>-1.4213663457129762</v>
      </c>
      <c r="K68" s="2">
        <f>Tabla25[[#This Row],[Weight_kg/ha]]*Tabla25[[#This Row],[Weight_reduction_prop]]/100</f>
        <v>-108.94773039889962</v>
      </c>
      <c r="L68" s="2">
        <f>Tabla25[[#This Row],[Weight_kg/ha]]-Tabla25[[#This Row],[Weight_reduction]]</f>
        <v>7773.9477303988997</v>
      </c>
    </row>
    <row r="69" spans="1:12" x14ac:dyDescent="0.35">
      <c r="A69" s="5">
        <v>45919</v>
      </c>
      <c r="B69" s="1">
        <v>5</v>
      </c>
      <c r="C69" s="1" t="s">
        <v>1</v>
      </c>
      <c r="D69" s="1">
        <v>4</v>
      </c>
      <c r="E69" s="1">
        <v>1</v>
      </c>
      <c r="F69" s="2">
        <v>899.86</v>
      </c>
      <c r="G69" s="1">
        <v>13.3</v>
      </c>
      <c r="H69" s="1">
        <v>43.88</v>
      </c>
      <c r="I69" s="1">
        <f>Tabla25[[#This Row],[Weight_g]]*10000/1000</f>
        <v>8998.6</v>
      </c>
      <c r="J69" s="4">
        <f>100*(Tabla25[[#This Row],[Humidity]]-14)/(100-Tabla25[[#This Row],[Humidity]])</f>
        <v>-0.80738177623990692</v>
      </c>
      <c r="K69" s="2">
        <f>Tabla25[[#This Row],[Weight_kg/ha]]*Tabla25[[#This Row],[Weight_reduction_prop]]/100</f>
        <v>-72.653056516724263</v>
      </c>
      <c r="L69" s="2">
        <f>Tabla25[[#This Row],[Weight_kg/ha]]-Tabla25[[#This Row],[Weight_reduction]]</f>
        <v>9071.2530565167253</v>
      </c>
    </row>
    <row r="70" spans="1:12" hidden="1" x14ac:dyDescent="0.35">
      <c r="A70" s="5">
        <v>45919</v>
      </c>
      <c r="B70" s="1">
        <v>5</v>
      </c>
      <c r="C70" s="1" t="s">
        <v>2</v>
      </c>
      <c r="D70" s="1">
        <v>1</v>
      </c>
      <c r="E70" s="1">
        <v>1</v>
      </c>
      <c r="F70" s="2">
        <v>624.70000000000005</v>
      </c>
      <c r="G70" s="1">
        <v>10.15</v>
      </c>
      <c r="H70" s="1">
        <v>45.91</v>
      </c>
      <c r="I70" s="1">
        <f>Tabla25[[#This Row],[Weight_g]]*10000/1000</f>
        <v>6247</v>
      </c>
      <c r="J70" s="4">
        <f>100*(Tabla25[[#This Row],[Humidity]]-14)/(100-Tabla25[[#This Row],[Humidity]])</f>
        <v>-4.2849193099610456</v>
      </c>
      <c r="K70" s="2">
        <f>Tabla25[[#This Row],[Weight_kg/ha]]*Tabla25[[#This Row],[Weight_reduction_prop]]/100</f>
        <v>-267.67890929326654</v>
      </c>
      <c r="L70" s="2">
        <f>Tabla25[[#This Row],[Weight_kg/ha]]-Tabla25[[#This Row],[Weight_reduction]]</f>
        <v>6514.6789092932668</v>
      </c>
    </row>
    <row r="71" spans="1:12" hidden="1" x14ac:dyDescent="0.35">
      <c r="A71" s="5">
        <v>45919</v>
      </c>
      <c r="B71" s="1">
        <v>5</v>
      </c>
      <c r="C71" s="1" t="s">
        <v>2</v>
      </c>
      <c r="D71" s="1">
        <v>2</v>
      </c>
      <c r="E71" s="1">
        <v>1</v>
      </c>
      <c r="F71" s="2">
        <v>1099.3</v>
      </c>
      <c r="G71" s="1">
        <v>15.41</v>
      </c>
      <c r="H71" s="1">
        <v>44.05</v>
      </c>
      <c r="I71" s="1">
        <f>Tabla25[[#This Row],[Weight_g]]*10000/1000</f>
        <v>10993</v>
      </c>
      <c r="J71" s="4">
        <f>100*(Tabla25[[#This Row],[Humidity]]-14)/(100-Tabla25[[#This Row],[Humidity]])</f>
        <v>1.666863695472278</v>
      </c>
      <c r="K71" s="2">
        <f>Tabla25[[#This Row],[Weight_kg/ha]]*Tabla25[[#This Row],[Weight_reduction_prop]]/100</f>
        <v>183.23832604326751</v>
      </c>
      <c r="L71" s="2">
        <f>Tabla25[[#This Row],[Weight_kg/ha]]-Tabla25[[#This Row],[Weight_reduction]]</f>
        <v>10809.761673956733</v>
      </c>
    </row>
    <row r="72" spans="1:12" hidden="1" x14ac:dyDescent="0.35">
      <c r="A72" s="5">
        <v>45919</v>
      </c>
      <c r="B72" s="1">
        <v>5</v>
      </c>
      <c r="C72" s="1" t="s">
        <v>2</v>
      </c>
      <c r="D72" s="1">
        <v>3</v>
      </c>
      <c r="E72" s="1">
        <v>1</v>
      </c>
      <c r="F72" s="2">
        <v>880.51</v>
      </c>
      <c r="G72" s="1">
        <v>14.24</v>
      </c>
      <c r="H72" s="1">
        <v>43.42</v>
      </c>
      <c r="I72" s="1">
        <f>Tabla25[[#This Row],[Weight_g]]*10000/1000</f>
        <v>8805.1</v>
      </c>
      <c r="J72" s="4">
        <f>100*(Tabla25[[#This Row],[Humidity]]-14)/(100-Tabla25[[#This Row],[Humidity]])</f>
        <v>0.27985074626865697</v>
      </c>
      <c r="K72" s="2">
        <f>Tabla25[[#This Row],[Weight_kg/ha]]*Tabla25[[#This Row],[Weight_reduction_prop]]/100</f>
        <v>24.641138059701515</v>
      </c>
      <c r="L72" s="2">
        <f>Tabla25[[#This Row],[Weight_kg/ha]]-Tabla25[[#This Row],[Weight_reduction]]</f>
        <v>8780.4588619402984</v>
      </c>
    </row>
    <row r="73" spans="1:12" hidden="1" x14ac:dyDescent="0.35">
      <c r="A73" s="5">
        <v>45919</v>
      </c>
      <c r="B73" s="1">
        <v>5</v>
      </c>
      <c r="C73" s="1" t="s">
        <v>2</v>
      </c>
      <c r="D73" s="1">
        <v>4</v>
      </c>
      <c r="E73" s="1">
        <v>1</v>
      </c>
      <c r="F73" s="2">
        <v>676</v>
      </c>
      <c r="G73" s="1">
        <v>14.02</v>
      </c>
      <c r="H73" s="1">
        <v>45.93</v>
      </c>
      <c r="I73" s="1">
        <f>Tabla25[[#This Row],[Weight_g]]*10000/1000</f>
        <v>6760</v>
      </c>
      <c r="J73" s="4">
        <f>100*(Tabla25[[#This Row],[Humidity]]-14)/(100-Tabla25[[#This Row],[Humidity]])</f>
        <v>2.3261223540357725E-2</v>
      </c>
      <c r="K73" s="2">
        <f>Tabla25[[#This Row],[Weight_kg/ha]]*Tabla25[[#This Row],[Weight_reduction_prop]]/100</f>
        <v>1.5724587113281823</v>
      </c>
      <c r="L73" s="2">
        <f>Tabla25[[#This Row],[Weight_kg/ha]]-Tabla25[[#This Row],[Weight_reduction]]</f>
        <v>6758.4275412886718</v>
      </c>
    </row>
    <row r="74" spans="1:12" hidden="1" x14ac:dyDescent="0.35">
      <c r="A74" s="5">
        <v>45919</v>
      </c>
      <c r="B74" s="1">
        <v>5</v>
      </c>
      <c r="C74" s="1" t="s">
        <v>0</v>
      </c>
      <c r="D74" s="1">
        <v>1</v>
      </c>
      <c r="E74" s="1">
        <v>1</v>
      </c>
      <c r="F74" s="2">
        <v>760.8</v>
      </c>
      <c r="G74" s="1">
        <v>12.49</v>
      </c>
      <c r="H74" s="1">
        <v>45.13</v>
      </c>
      <c r="I74" s="1">
        <f>Tabla25[[#This Row],[Weight_g]]*10000/1000</f>
        <v>7608</v>
      </c>
      <c r="J74" s="4">
        <f>100*(Tabla25[[#This Row],[Humidity]]-14)/(100-Tabla25[[#This Row],[Humidity]])</f>
        <v>-1.7255170837618554</v>
      </c>
      <c r="K74" s="2">
        <f>Tabla25[[#This Row],[Weight_kg/ha]]*Tabla25[[#This Row],[Weight_reduction_prop]]/100</f>
        <v>-131.27733973260194</v>
      </c>
      <c r="L74" s="2">
        <f>Tabla25[[#This Row],[Weight_kg/ha]]-Tabla25[[#This Row],[Weight_reduction]]</f>
        <v>7739.2773397326018</v>
      </c>
    </row>
    <row r="75" spans="1:12" hidden="1" x14ac:dyDescent="0.35">
      <c r="A75" s="5">
        <v>45919</v>
      </c>
      <c r="B75" s="1">
        <v>5</v>
      </c>
      <c r="C75" s="1" t="s">
        <v>0</v>
      </c>
      <c r="D75" s="1">
        <v>2</v>
      </c>
      <c r="E75" s="1">
        <v>1</v>
      </c>
      <c r="F75" s="2">
        <v>901.44</v>
      </c>
      <c r="G75" s="1">
        <v>13.55</v>
      </c>
      <c r="H75" s="1">
        <v>44.4</v>
      </c>
      <c r="I75" s="1">
        <f>Tabla25[[#This Row],[Weight_g]]*10000/1000</f>
        <v>9014.4</v>
      </c>
      <c r="J75" s="4">
        <f>100*(Tabla25[[#This Row],[Humidity]]-14)/(100-Tabla25[[#This Row],[Humidity]])</f>
        <v>-0.5205320994794671</v>
      </c>
      <c r="K75" s="2">
        <f>Tabla25[[#This Row],[Weight_kg/ha]]*Tabla25[[#This Row],[Weight_reduction_prop]]/100</f>
        <v>-46.922845575477076</v>
      </c>
      <c r="L75" s="2">
        <f>Tabla25[[#This Row],[Weight_kg/ha]]-Tabla25[[#This Row],[Weight_reduction]]</f>
        <v>9061.3228455754761</v>
      </c>
    </row>
    <row r="76" spans="1:12" hidden="1" x14ac:dyDescent="0.35">
      <c r="A76" s="5">
        <v>45919</v>
      </c>
      <c r="B76" s="1">
        <v>5</v>
      </c>
      <c r="C76" s="1" t="s">
        <v>0</v>
      </c>
      <c r="D76" s="1">
        <v>3</v>
      </c>
      <c r="E76" s="1">
        <v>1</v>
      </c>
      <c r="F76" s="2">
        <v>972.3</v>
      </c>
      <c r="G76" s="1">
        <v>13.39</v>
      </c>
      <c r="H76" s="1">
        <v>44.86</v>
      </c>
      <c r="I76" s="1">
        <f>Tabla25[[#This Row],[Weight_g]]*10000/1000</f>
        <v>9723</v>
      </c>
      <c r="J76" s="4">
        <f>100*(Tabla25[[#This Row],[Humidity]]-14)/(100-Tabla25[[#This Row],[Humidity]])</f>
        <v>-0.70430666204826164</v>
      </c>
      <c r="K76" s="2">
        <f>Tabla25[[#This Row],[Weight_kg/ha]]*Tabla25[[#This Row],[Weight_reduction_prop]]/100</f>
        <v>-68.479736750952483</v>
      </c>
      <c r="L76" s="2">
        <f>Tabla25[[#This Row],[Weight_kg/ha]]-Tabla25[[#This Row],[Weight_reduction]]</f>
        <v>9791.4797367509527</v>
      </c>
    </row>
    <row r="77" spans="1:12" hidden="1" x14ac:dyDescent="0.35">
      <c r="A77" s="5">
        <v>45919</v>
      </c>
      <c r="B77" s="1">
        <v>5</v>
      </c>
      <c r="C77" s="1" t="s">
        <v>0</v>
      </c>
      <c r="D77" s="1">
        <v>4</v>
      </c>
      <c r="E77" s="1">
        <v>1</v>
      </c>
      <c r="F77" s="2">
        <v>1012</v>
      </c>
      <c r="G77" s="1">
        <v>13.46</v>
      </c>
      <c r="H77" s="1">
        <v>44.89</v>
      </c>
      <c r="I77" s="1">
        <f>Tabla25[[#This Row],[Weight_g]]*10000/1000</f>
        <v>10120</v>
      </c>
      <c r="J77" s="4">
        <f>100*(Tabla25[[#This Row],[Humidity]]-14)/(100-Tabla25[[#This Row],[Humidity]])</f>
        <v>-0.62398890686387709</v>
      </c>
      <c r="K77" s="2">
        <f>Tabla25[[#This Row],[Weight_kg/ha]]*Tabla25[[#This Row],[Weight_reduction_prop]]/100</f>
        <v>-63.147677374624365</v>
      </c>
      <c r="L77" s="2">
        <f>Tabla25[[#This Row],[Weight_kg/ha]]-Tabla25[[#This Row],[Weight_reduction]]</f>
        <v>10183.147677374624</v>
      </c>
    </row>
    <row r="78" spans="1:12" x14ac:dyDescent="0.35">
      <c r="A78" s="5">
        <v>45919</v>
      </c>
      <c r="B78" s="1">
        <v>5</v>
      </c>
      <c r="C78" s="1" t="s">
        <v>3</v>
      </c>
      <c r="D78" s="1">
        <v>1</v>
      </c>
      <c r="E78" s="1">
        <v>1</v>
      </c>
      <c r="F78" s="2">
        <v>725.08</v>
      </c>
      <c r="G78" s="1">
        <v>11.4</v>
      </c>
      <c r="H78" s="1">
        <v>50.25</v>
      </c>
      <c r="I78" s="1">
        <f>Tabla25[[#This Row],[Weight_g]]*10000/1000</f>
        <v>7250.8</v>
      </c>
      <c r="J78" s="4">
        <f>100*(Tabla25[[#This Row],[Humidity]]-14)/(100-Tabla25[[#This Row],[Humidity]])</f>
        <v>-2.9345372460496608</v>
      </c>
      <c r="K78" s="2">
        <f>Tabla25[[#This Row],[Weight_kg/ha]]*Tabla25[[#This Row],[Weight_reduction_prop]]/100</f>
        <v>-212.7774266365688</v>
      </c>
      <c r="L78" s="2">
        <f>Tabla25[[#This Row],[Weight_kg/ha]]-Tabla25[[#This Row],[Weight_reduction]]</f>
        <v>7463.5774266365688</v>
      </c>
    </row>
    <row r="79" spans="1:12" x14ac:dyDescent="0.35">
      <c r="A79" s="5">
        <v>45919</v>
      </c>
      <c r="B79" s="1">
        <v>5</v>
      </c>
      <c r="C79" s="1" t="s">
        <v>3</v>
      </c>
      <c r="D79" s="1">
        <v>2</v>
      </c>
      <c r="E79" s="1">
        <v>1</v>
      </c>
      <c r="F79" s="2">
        <v>831.7</v>
      </c>
      <c r="G79" s="1">
        <v>12.16</v>
      </c>
      <c r="H79" s="1">
        <v>44.37</v>
      </c>
      <c r="I79" s="1">
        <f>Tabla25[[#This Row],[Weight_g]]*10000/1000</f>
        <v>8317</v>
      </c>
      <c r="J79" s="4">
        <f>100*(Tabla25[[#This Row],[Humidity]]-14)/(100-Tabla25[[#This Row],[Humidity]])</f>
        <v>-2.0947176684881601</v>
      </c>
      <c r="K79" s="2">
        <f>Tabla25[[#This Row],[Weight_kg/ha]]*Tabla25[[#This Row],[Weight_reduction_prop]]/100</f>
        <v>-174.21766848816026</v>
      </c>
      <c r="L79" s="2">
        <f>Tabla25[[#This Row],[Weight_kg/ha]]-Tabla25[[#This Row],[Weight_reduction]]</f>
        <v>8491.2176684881597</v>
      </c>
    </row>
    <row r="80" spans="1:12" x14ac:dyDescent="0.35">
      <c r="A80" s="5">
        <v>45919</v>
      </c>
      <c r="B80" s="1">
        <v>5</v>
      </c>
      <c r="C80" s="1" t="s">
        <v>3</v>
      </c>
      <c r="D80" s="1">
        <v>3</v>
      </c>
      <c r="E80" s="1">
        <v>1</v>
      </c>
      <c r="F80" s="2">
        <v>1015.5</v>
      </c>
      <c r="G80" s="1">
        <v>11.58</v>
      </c>
      <c r="H80" s="1">
        <v>44.65</v>
      </c>
      <c r="I80" s="1">
        <f>Tabla25[[#This Row],[Weight_g]]*10000/1000</f>
        <v>10155</v>
      </c>
      <c r="J80" s="4">
        <f>100*(Tabla25[[#This Row],[Humidity]]-14)/(100-Tabla25[[#This Row],[Humidity]])</f>
        <v>-2.7369373444921963</v>
      </c>
      <c r="K80" s="2">
        <f>Tabla25[[#This Row],[Weight_kg/ha]]*Tabla25[[#This Row],[Weight_reduction_prop]]/100</f>
        <v>-277.93598733318254</v>
      </c>
      <c r="L80" s="2">
        <f>Tabla25[[#This Row],[Weight_kg/ha]]-Tabla25[[#This Row],[Weight_reduction]]</f>
        <v>10432.935987333183</v>
      </c>
    </row>
    <row r="81" spans="1:12" x14ac:dyDescent="0.35">
      <c r="A81" s="5">
        <v>45919</v>
      </c>
      <c r="B81" s="1">
        <v>5</v>
      </c>
      <c r="C81" s="1" t="s">
        <v>3</v>
      </c>
      <c r="D81" s="1">
        <v>4</v>
      </c>
      <c r="E81" s="1">
        <v>1</v>
      </c>
      <c r="F81" s="2">
        <v>698.1</v>
      </c>
      <c r="G81" s="1">
        <v>11.87</v>
      </c>
      <c r="H81" s="1">
        <v>45.52</v>
      </c>
      <c r="I81" s="1">
        <f>Tabla25[[#This Row],[Weight_g]]*10000/1000</f>
        <v>6981</v>
      </c>
      <c r="J81" s="4">
        <f>100*(Tabla25[[#This Row],[Humidity]]-14)/(100-Tabla25[[#This Row],[Humidity]])</f>
        <v>-2.416884148417112</v>
      </c>
      <c r="K81" s="2">
        <f>Tabla25[[#This Row],[Weight_kg/ha]]*Tabla25[[#This Row],[Weight_reduction_prop]]/100</f>
        <v>-168.72268240099859</v>
      </c>
      <c r="L81" s="2">
        <f>Tabla25[[#This Row],[Weight_kg/ha]]-Tabla25[[#This Row],[Weight_reduction]]</f>
        <v>7149.7226824009986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2026-02-18T12:11:41Z</dcterms:created>
  <dcterms:modified xsi:type="dcterms:W3CDTF">2026-05-07T15:33:22Z</dcterms:modified>
</cp:coreProperties>
</file>